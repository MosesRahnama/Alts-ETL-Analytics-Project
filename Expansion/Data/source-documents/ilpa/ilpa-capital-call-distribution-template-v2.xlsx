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NicholasJenson\Desktop\CCD Documents\Added to Website\"/>
    </mc:Choice>
  </mc:AlternateContent>
  <xr:revisionPtr revIDLastSave="0" documentId="8_{9FB1B9A5-5015-4BCC-91FE-FD62551DD726}" xr6:coauthVersionLast="47" xr6:coauthVersionMax="47" xr10:uidLastSave="{00000000-0000-0000-0000-000000000000}"/>
  <bookViews>
    <workbookView xWindow="29685" yWindow="2415" windowWidth="21600" windowHeight="11295" tabRatio="816" xr2:uid="{F9AFFBBA-6095-4A03-ACA7-AD82A8507C5A}"/>
  </bookViews>
  <sheets>
    <sheet name="Suggested Guidance" sheetId="32" r:id="rId1"/>
    <sheet name="Call &amp; Distribution Template" sheetId="27" r:id="rId2"/>
    <sheet name="Trans. Types &amp; Definitions" sheetId="23" r:id="rId3"/>
    <sheet name="Summary of Revisions" sheetId="40" r:id="rId4"/>
  </sheets>
  <externalReferences>
    <externalReference r:id="rId5"/>
  </externalReferences>
  <definedNames>
    <definedName name="__123Graph_A" localSheetId="3" hidden="1">[1]index!#REF!</definedName>
    <definedName name="__123Graph_A" hidden="1">[1]index!#REF!</definedName>
    <definedName name="__123Graph_B" localSheetId="3" hidden="1">[1]index!#REF!</definedName>
    <definedName name="__123Graph_B" hidden="1">[1]index!#REF!</definedName>
    <definedName name="__123Graph_X" localSheetId="3" hidden="1">[1]index!#REF!</definedName>
    <definedName name="__123Graph_X" hidden="1">[1]index!#REF!</definedName>
    <definedName name="_Fill" localSheetId="3" hidden="1">#REF!</definedName>
    <definedName name="_Fill" hidden="1">#REF!</definedName>
    <definedName name="_xlnm._FilterDatabase" localSheetId="1" hidden="1">'Call &amp; Distribution Template'!$B$23:$J$23</definedName>
    <definedName name="_Key1" localSheetId="3" hidden="1">#REF!</definedName>
    <definedName name="_Key1" hidden="1">#REF!</definedName>
    <definedName name="_Key2" localSheetId="3" hidden="1">#REF!</definedName>
    <definedName name="_Key2" hidden="1">#REF!</definedName>
    <definedName name="_MatMult_A" localSheetId="3" hidden="1">#REF!</definedName>
    <definedName name="_MatMult_A" hidden="1">#REF!</definedName>
    <definedName name="_MatMult_AxB" localSheetId="3" hidden="1">#REF!</definedName>
    <definedName name="_MatMult_AxB" hidden="1">#REF!</definedName>
    <definedName name="_MatMult_B" localSheetId="3" hidden="1">#REF!</definedName>
    <definedName name="_MatMult_B" hidden="1">#REF!</definedName>
    <definedName name="_Order1" hidden="1">0</definedName>
    <definedName name="_Order1_1" hidden="1">0</definedName>
    <definedName name="_Order2" hidden="1">0</definedName>
    <definedName name="_Order2_1" hidden="1">0</definedName>
    <definedName name="_Sort" localSheetId="3" hidden="1">#REF!</definedName>
    <definedName name="_Sort" hidden="1">#REF!</definedName>
    <definedName name="_Table1_In1" localSheetId="3" hidden="1">#REF!</definedName>
    <definedName name="_Table1_In1" hidden="1">#REF!</definedName>
    <definedName name="_Table1_Out" localSheetId="3" hidden="1">#REF!</definedName>
    <definedName name="_Table1_Out" hidden="1">#REF!</definedName>
    <definedName name="_Table2_In1" localSheetId="3" hidden="1">#REF!</definedName>
    <definedName name="_Table2_In1" hidden="1">#REF!</definedName>
    <definedName name="AS2DocOpenMode" hidden="1">"AS2DocumentEdit"</definedName>
    <definedName name="BLPH1" localSheetId="3" hidden="1">#REF!</definedName>
    <definedName name="BLPH1" hidden="1">#REF!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TIONAL_NON_INT_INC_FDIC" hidden="1">"c6574"</definedName>
    <definedName name="IQ_ADJUSTABLE_RATE_LOANS_FDIC" hidden="1">"c6375"</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SSET_BACKED_FDIC" hidden="1">"c6301"</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CAL_Q_EST" hidden="1">"c6796"</definedName>
    <definedName name="IQ_CAL_Q_EST_REUT" hidden="1">"c6800"</definedName>
    <definedName name="IQ_CAL_Y_EST" hidden="1">"c6797"</definedName>
    <definedName name="IQ_CAL_Y_EST_REUT" hidden="1">"c6801"</definedName>
    <definedName name="IQ_CASH_DIVIDENDS_NET_INCOME_FDIC" hidden="1">"c6738"</definedName>
    <definedName name="IQ_CASH_IN_PROCESS_FDIC" hidden="1">"c6386"</definedName>
    <definedName name="IQ_CCE_FDIC" hidden="1">"c6296"</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FDIC" hidden="1">"c6350"</definedName>
    <definedName name="IQ_COMPANY_NOTE" hidden="1">"c6792"</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VEYED_TO_OTHERS_FDIC" hidden="1">"c6534"</definedName>
    <definedName name="IQ_CORE_CAPITAL_RATIO_FDIC" hidden="1">"c6745"</definedName>
    <definedName name="IQ_COST_OF_FUNDING_ASSETS_FDIC" hidden="1">"c6725"</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ENCY_COIN_DOMESTIC_FDIC" hidden="1">"c6388"</definedName>
    <definedName name="IQ_CURRENT_BENCHMARK" hidden="1">"c6780"</definedName>
    <definedName name="IQ_CURRENT_BENCHMARK_CIQID" hidden="1">"c6781"</definedName>
    <definedName name="IQ_CURRENT_BENCHMARK_MATURITY" hidden="1">"c6782"</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EARNING_ASSETS_FDIC" hidden="1">"c6360"</definedName>
    <definedName name="IQ_EARNING_ASSETS_YIELD_FDIC" hidden="1">"c6724"</definedName>
    <definedName name="IQ_EARNINGS_COVERAGE_NET_CHARGE_OFFS_FDIC" hidden="1">"c6735"</definedName>
    <definedName name="IQ_EFFICIENCY_RATIO_FDIC" hidden="1">"c6736"</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IMATED_ASSESSABLE_DEPOSITS_FDIC" hidden="1">"c6490"</definedName>
    <definedName name="IQ_ESTIMATED_INSURED_DEPOSITS_FDIC" hidden="1">"c6491"</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N_DATA_SOURCE" hidden="1">"c6788"</definedName>
    <definedName name="IQ_FISCAL_Q_EST" hidden="1">"c6794"</definedName>
    <definedName name="IQ_FISCAL_Q_EST_REUT" hidden="1">"c6798"</definedName>
    <definedName name="IQ_FISCAL_Y_EST" hidden="1">"c6795"</definedName>
    <definedName name="IQ_FISCAL_Y_EST_REUT" hidden="1">"c6799"</definedName>
    <definedName name="IQ_FIVE_YEAR_FIXED_AND_FLOATING_RATE_FDIC" hidden="1">"c6422"</definedName>
    <definedName name="IQ_FIVE_YEAR_MORTGAGE_PASS_THROUGHS_FDIC" hidden="1">"c6414"</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ULLY_INSURED_DEPOSITS_FDIC" hidden="1">"c6487"</definedName>
    <definedName name="IQ_FUTURES_FORWARD_CONTRACTS_NOTIONAL_AMOUNT_FDIC" hidden="1">"c6518"</definedName>
    <definedName name="IQ_FUTURES_FORWARD_CONTRACTS_RATE_RISK_FDIC" hidden="1">"c6508"</definedName>
    <definedName name="IQ_FX_CONTRACTS_FDIC" hidden="1">"c6517"</definedName>
    <definedName name="IQ_FX_CONTRACTS_SPOT_FDIC" hidden="1">"c6356"</definedName>
    <definedName name="IQ_GAAP_BS" hidden="1">"c6789"</definedName>
    <definedName name="IQ_GAAP_CF" hidden="1">"c6790"</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TOTAL_FDIC" hidden="1">"c6569"</definedName>
    <definedName name="IQ_INT_FED_FUNDS_FDIC" hidden="1">"c6566"</definedName>
    <definedName name="IQ_INT_FOREIGN_DEPOSITS_FDIC" hidden="1">"c6565"</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MENT_BANKING_OTHER_FEES_FDIC" hidden="1">"c6666"</definedName>
    <definedName name="IQ_IRA_KEOGH_ACCOUNTS_FDIC" hidden="1">"c6496"</definedName>
    <definedName name="IQ_ISSUED_GUARANTEED_US_FDIC" hidden="1">"c6404"</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MATURITY_ONE_YEAR_LESS_FDIC" hidden="1">"c6425"</definedName>
    <definedName name="IQ_MONEY_MARKET_DEPOSIT_ACCOUNTS_FDIC" hidden="1">"c6553"</definedName>
    <definedName name="IQ_MORTGAGE_BACKED_SECURITIES_FDIC" hidden="1">"c6402"</definedName>
    <definedName name="IQ_MORTGAGE_SERVICING_FDIC" hidden="1">"c6335"</definedName>
    <definedName name="IQ_MULTIFAMILY_RESIDENTIAL_LOANS_FDIC" hidden="1">"c6311"</definedName>
    <definedName name="IQ_NET_CHARGE_OFFS_FDIC" hidden="1">"c6641"</definedName>
    <definedName name="IQ_NET_CHARGE_OFFS_LOANS_FDIC" hidden="1">"c6751"</definedName>
    <definedName name="IQ_NET_INCOME_FDIC" hidden="1">"c6587"</definedName>
    <definedName name="IQ_NET_INT_INC_BNK_FDIC" hidden="1">"c6570"</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SSETS_FDIC" hidden="1">"c6338"</definedName>
    <definedName name="IQ_OTHER_BORROWED_FUNDS_FDIC" hidden="1">"c6345"</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INSURANCE_FEES_FDIC" hidden="1">"c6672"</definedName>
    <definedName name="IQ_OTHER_INTANGIBLE_FDIC" hidden="1">"c6337"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NON_INT_EXP_FDIC" hidden="1">"c6578"</definedName>
    <definedName name="IQ_OTHER_NON_INT_EXPENSE_FDIC" hidden="1">"c6679"</definedName>
    <definedName name="IQ_OTHER_NON_INT_INC_FDIC" hidden="1">"c6676"</definedName>
    <definedName name="IQ_OTHER_OFF_BS_LIAB_FDIC" hidden="1">"c6533"</definedName>
    <definedName name="IQ_OTHER_RE_OWNED_FDIC" hidden="1">"c6330"</definedName>
    <definedName name="IQ_OTHER_SAVINGS_DEPOSITS_FDIC" hidden="1">"c6554"</definedName>
    <definedName name="IQ_OTHER_TRANSACTIONS_FDIC" hidden="1">"c6504"</definedName>
    <definedName name="IQ_OTHER_UNUSED_COMMITMENTS_FDIC" hidden="1">"c6530"</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ERCENT_INSURED_FDIC" hidden="1">"c6374"</definedName>
    <definedName name="IQ_PLEDGED_SECURITIES_FDIC" hidden="1">"c6401"</definedName>
    <definedName name="IQ_PRE_TAX_INCOME_FDIC" hidden="1">"c6581"</definedName>
    <definedName name="IQ_PREFERRED_FDIC" hidden="1">"c6349"</definedName>
    <definedName name="IQ_PREMISES_EQUIPMENT_FDIC" hidden="1">"c6577"</definedName>
    <definedName name="IQ_PRETAX_RETURN_ASSETS_FDIC" hidden="1">"c6731"</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TATEMENTS_NET_FDIC" hidden="1">"c6500"</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FDIC" hidden="1">"c6730"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SALARY_FDIC" hidden="1">"c6576"</definedName>
    <definedName name="IQ_SALE_CONVERSION_RETIREMENT_STOCK_FDIC" hidden="1">"c6661"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TATES_NONTRANSACTION_ACCOUNTS_FDIC" hidden="1">"c6547"</definedName>
    <definedName name="IQ_STATES_TOTAL_DEPOSITS_FDIC" hidden="1">"c6473"</definedName>
    <definedName name="IQ_STATES_TRANSACTION_ACCOUNTS_FDIC" hidden="1">"c6539"</definedName>
    <definedName name="IQ_STRATEGY_NOTE" hidden="1">"c6791"</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TAL_ASSETS_FDIC" hidden="1">"c6339"</definedName>
    <definedName name="IQ_TOTAL_CHARGE_OFFS_FDIC" hidden="1">"c6603"</definedName>
    <definedName name="IQ_TOTAL_DEBT_SECURITIES_FDIC" hidden="1">"c6410"</definedName>
    <definedName name="IQ_TOTAL_DEPOSITS_FDIC" hidden="1">"c6342"</definedName>
    <definedName name="IQ_TOTAL_EMPLOYEES_FDIC" hidden="1">"c6355"</definedName>
    <definedName name="IQ_TOTAL_LIAB_EQUITY_FDIC" hidden="1">"c6354"</definedName>
    <definedName name="IQ_TOTAL_LIABILITIES_FDIC" hidden="1">"c6348"</definedName>
    <definedName name="IQ_TOTAL_RECOVERIES_FDIC" hidden="1">"c6622"</definedName>
    <definedName name="IQ_TOTAL_REV_BNK_FDIC" hidden="1">"c6786"</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ALUE_TRADED" hidden="1">"c1519"</definedName>
    <definedName name="IQ_VC_REVENUE_FDIC" hidden="1">"c6667"</definedName>
    <definedName name="IQ_VOLATILE_LIABILITIES_FDIC" hidden="1">"c6364"</definedName>
    <definedName name="IQ_WRITTEN_OPTION_CONTRACTS_FDIC" hidden="1">"c6509"</definedName>
    <definedName name="IQ_WRITTEN_OPTION_CONTRACTS_FX_RISK_FDIC" hidden="1">"c6514"</definedName>
    <definedName name="IQ_WRITTEN_OPTION_CONTRACTS_NON_FX_IR_FDIC" hidden="1">"c6519"</definedName>
    <definedName name="IQ_YEAR_FOUNDED" hidden="1">"c6793"</definedName>
    <definedName name="kjk" localSheetId="0" hidden="1">{#N/A,#N/A,FALSE,"Spread";#N/A,#N/A,FALSE,"Weekly TD#1";#N/A,#N/A,FALSE,"Weekly TD#2";#N/A,#N/A,FALSE,"Weekly STB#1";#N/A,#N/A,FALSE,"Tickler";#N/A,#N/A,FALSE,"Weekly Report";#N/A,#N/A,FALSE,"Int@180"}</definedName>
    <definedName name="kjk" localSheetId="3" hidden="1">{#N/A,#N/A,FALSE,"Spread";#N/A,#N/A,FALSE,"Weekly TD#1";#N/A,#N/A,FALSE,"Weekly TD#2";#N/A,#N/A,FALSE,"Weekly STB#1";#N/A,#N/A,FALSE,"Tickler";#N/A,#N/A,FALSE,"Weekly Report";#N/A,#N/A,FALSE,"Int@180"}</definedName>
    <definedName name="kjk" hidden="1">{#N/A,#N/A,FALSE,"Spread";#N/A,#N/A,FALSE,"Weekly TD#1";#N/A,#N/A,FALSE,"Weekly TD#2";#N/A,#N/A,FALSE,"Weekly STB#1";#N/A,#N/A,FALSE,"Tickler";#N/A,#N/A,FALSE,"Weekly Report";#N/A,#N/A,FALSE,"Int@180"}</definedName>
    <definedName name="kjk_1" localSheetId="0" hidden="1">{#N/A,#N/A,FALSE,"Spread";#N/A,#N/A,FALSE,"Weekly TD#1";#N/A,#N/A,FALSE,"Weekly TD#2";#N/A,#N/A,FALSE,"Weekly STB#1";#N/A,#N/A,FALSE,"Tickler";#N/A,#N/A,FALSE,"Weekly Report";#N/A,#N/A,FALSE,"Int@180"}</definedName>
    <definedName name="kjk_1" localSheetId="3" hidden="1">{#N/A,#N/A,FALSE,"Spread";#N/A,#N/A,FALSE,"Weekly TD#1";#N/A,#N/A,FALSE,"Weekly TD#2";#N/A,#N/A,FALSE,"Weekly STB#1";#N/A,#N/A,FALSE,"Tickler";#N/A,#N/A,FALSE,"Weekly Report";#N/A,#N/A,FALSE,"Int@180"}</definedName>
    <definedName name="kjk_1" hidden="1">{#N/A,#N/A,FALSE,"Spread";#N/A,#N/A,FALSE,"Weekly TD#1";#N/A,#N/A,FALSE,"Weekly TD#2";#N/A,#N/A,FALSE,"Weekly STB#1";#N/A,#N/A,FALSE,"Tickler";#N/A,#N/A,FALSE,"Weekly Report";#N/A,#N/A,FALSE,"Int@180"}</definedName>
    <definedName name="KJKJ" localSheetId="0" hidden="1">{#N/A,#N/A,FALSE,"Spread";#N/A,#N/A,FALSE,"Weekly TD#1";#N/A,#N/A,FALSE,"Weekly TD#2";#N/A,#N/A,FALSE,"Weekly STB#1";#N/A,#N/A,FALSE,"Tickler";#N/A,#N/A,FALSE,"Weekly Report";#N/A,#N/A,FALSE,"Int@180"}</definedName>
    <definedName name="KJKJ" localSheetId="3" hidden="1">{#N/A,#N/A,FALSE,"Spread";#N/A,#N/A,FALSE,"Weekly TD#1";#N/A,#N/A,FALSE,"Weekly TD#2";#N/A,#N/A,FALSE,"Weekly STB#1";#N/A,#N/A,FALSE,"Tickler";#N/A,#N/A,FALSE,"Weekly Report";#N/A,#N/A,FALSE,"Int@180"}</definedName>
    <definedName name="KJKJ" hidden="1">{#N/A,#N/A,FALSE,"Spread";#N/A,#N/A,FALSE,"Weekly TD#1";#N/A,#N/A,FALSE,"Weekly TD#2";#N/A,#N/A,FALSE,"Weekly STB#1";#N/A,#N/A,FALSE,"Tickler";#N/A,#N/A,FALSE,"Weekly Report";#N/A,#N/A,FALSE,"Int@180"}</definedName>
    <definedName name="KJKJ_1" localSheetId="0" hidden="1">{#N/A,#N/A,FALSE,"Spread";#N/A,#N/A,FALSE,"Weekly TD#1";#N/A,#N/A,FALSE,"Weekly TD#2";#N/A,#N/A,FALSE,"Weekly STB#1";#N/A,#N/A,FALSE,"Tickler";#N/A,#N/A,FALSE,"Weekly Report";#N/A,#N/A,FALSE,"Int@180"}</definedName>
    <definedName name="KJKJ_1" localSheetId="3" hidden="1">{#N/A,#N/A,FALSE,"Spread";#N/A,#N/A,FALSE,"Weekly TD#1";#N/A,#N/A,FALSE,"Weekly TD#2";#N/A,#N/A,FALSE,"Weekly STB#1";#N/A,#N/A,FALSE,"Tickler";#N/A,#N/A,FALSE,"Weekly Report";#N/A,#N/A,FALSE,"Int@180"}</definedName>
    <definedName name="KJKJ_1" hidden="1">{#N/A,#N/A,FALSE,"Spread";#N/A,#N/A,FALSE,"Weekly TD#1";#N/A,#N/A,FALSE,"Weekly TD#2";#N/A,#N/A,FALSE,"Weekly STB#1";#N/A,#N/A,FALSE,"Tickler";#N/A,#N/A,FALSE,"Weekly Report";#N/A,#N/A,FALSE,"Int@180"}</definedName>
    <definedName name="wrn.Distributions." localSheetId="0" hidden="1">{#N/A,#N/A,FALSE,"DIS Forms";#N/A,#N/A,FALSE,"WIRE FORM";#N/A,#N/A,FALSE,"Transfers"}</definedName>
    <definedName name="wrn.Distributions." localSheetId="3" hidden="1">{#N/A,#N/A,FALSE,"DIS Forms";#N/A,#N/A,FALSE,"WIRE FORM";#N/A,#N/A,FALSE,"Transfers"}</definedName>
    <definedName name="wrn.Distributions." hidden="1">{#N/A,#N/A,FALSE,"DIS Forms";#N/A,#N/A,FALSE,"WIRE FORM";#N/A,#N/A,FALSE,"Transfers"}</definedName>
    <definedName name="wrn.Distributions._1" localSheetId="0" hidden="1">{#N/A,#N/A,FALSE,"DIS Forms";#N/A,#N/A,FALSE,"WIRE FORM";#N/A,#N/A,FALSE,"Transfers"}</definedName>
    <definedName name="wrn.Distributions._1" localSheetId="3" hidden="1">{#N/A,#N/A,FALSE,"DIS Forms";#N/A,#N/A,FALSE,"WIRE FORM";#N/A,#N/A,FALSE,"Transfers"}</definedName>
    <definedName name="wrn.Distributions._1" hidden="1">{#N/A,#N/A,FALSE,"DIS Forms";#N/A,#N/A,FALSE,"WIRE FORM";#N/A,#N/A,FALSE,"Transfers"}</definedName>
    <definedName name="WRN.DISTRIBUTIONS.D" localSheetId="0" hidden="1">{#N/A,#N/A,FALSE,"DIS Forms";#N/A,#N/A,FALSE,"WIRE FORM";#N/A,#N/A,FALSE,"Transfers"}</definedName>
    <definedName name="WRN.DISTRIBUTIONS.D" localSheetId="3" hidden="1">{#N/A,#N/A,FALSE,"DIS Forms";#N/A,#N/A,FALSE,"WIRE FORM";#N/A,#N/A,FALSE,"Transfers"}</definedName>
    <definedName name="WRN.DISTRIBUTIONS.D" hidden="1">{#N/A,#N/A,FALSE,"DIS Forms";#N/A,#N/A,FALSE,"WIRE FORM";#N/A,#N/A,FALSE,"Transfers"}</definedName>
    <definedName name="WRN.DISTRIBUTIONS.D_1" localSheetId="0" hidden="1">{#N/A,#N/A,FALSE,"DIS Forms";#N/A,#N/A,FALSE,"WIRE FORM";#N/A,#N/A,FALSE,"Transfers"}</definedName>
    <definedName name="WRN.DISTRIBUTIONS.D_1" localSheetId="3" hidden="1">{#N/A,#N/A,FALSE,"DIS Forms";#N/A,#N/A,FALSE,"WIRE FORM";#N/A,#N/A,FALSE,"Transfers"}</definedName>
    <definedName name="WRN.DISTRIBUTIONS.D_1" hidden="1">{#N/A,#N/A,FALSE,"DIS Forms";#N/A,#N/A,FALSE,"WIRE FORM";#N/A,#N/A,FALSE,"Transfers"}</definedName>
    <definedName name="wrn.HASTAX." localSheetId="0" hidden="1">{#N/A,#N/A,FALSE,"Hastax"}</definedName>
    <definedName name="wrn.HASTAX." localSheetId="3" hidden="1">{#N/A,#N/A,FALSE,"Hastax"}</definedName>
    <definedName name="wrn.HASTAX." hidden="1">{#N/A,#N/A,FALSE,"Hastax"}</definedName>
    <definedName name="wrn.HASTAX._1" localSheetId="0" hidden="1">{#N/A,#N/A,FALSE,"Hastax"}</definedName>
    <definedName name="wrn.HASTAX._1" localSheetId="3" hidden="1">{#N/A,#N/A,FALSE,"Hastax"}</definedName>
    <definedName name="wrn.HASTAX._1" hidden="1">{#N/A,#N/A,FALSE,"Hastax"}</definedName>
    <definedName name="wrn.PAYMENT." localSheetId="0" hidden="1">{#N/A,#N/A,FALSE,"Rate Sheet";#N/A,#N/A,FALSE,"TCB Fee Disb";#N/A,#N/A,FALSE,"Dist Advances";#N/A,#N/A,FALSE,"Dist Servicing fee";#N/A,#N/A,FALSE,"Dist excess";#N/A,#N/A,FALSE,"Wire to ICON";#N/A,#N/A,FALSE,"Dist Excluded"}</definedName>
    <definedName name="wrn.PAYMENT." localSheetId="3" hidden="1">{#N/A,#N/A,FALSE,"Rate Sheet";#N/A,#N/A,FALSE,"TCB Fee Disb";#N/A,#N/A,FALSE,"Dist Advances";#N/A,#N/A,FALSE,"Dist Servicing fee";#N/A,#N/A,FALSE,"Dist excess";#N/A,#N/A,FALSE,"Wire to ICON";#N/A,#N/A,FALSE,"Dist Excluded"}</definedName>
    <definedName name="wrn.PAYMENT." hidden="1">{#N/A,#N/A,FALSE,"Rate Sheet";#N/A,#N/A,FALSE,"TCB Fee Disb";#N/A,#N/A,FALSE,"Dist Advances";#N/A,#N/A,FALSE,"Dist Servicing fee";#N/A,#N/A,FALSE,"Dist excess";#N/A,#N/A,FALSE,"Wire to ICON";#N/A,#N/A,FALSE,"Dist Excluded"}</definedName>
    <definedName name="wrn.Payment._.Forms." localSheetId="0" hidden="1">{#N/A,#N/A,FALSE,"Cash Transfers";#N/A,#N/A,FALSE,"Dist from Collateral";#N/A,#N/A,FALSE,"Dist for Servicing fee";#N/A,#N/A,FALSE,"Wire from Collateral";#N/A,#N/A,FALSE,"Wire for Servicing Fee";#N/A,#N/A,FALSE,"Rate Sheet";#N/A,#N/A,FALSE,"Rate Sheet";#N/A,#N/A,FALSE,"Trans-Class A Res"}</definedName>
    <definedName name="wrn.Payment._.Forms." localSheetId="3" hidden="1">{#N/A,#N/A,FALSE,"Cash Transfers";#N/A,#N/A,FALSE,"Dist from Collateral";#N/A,#N/A,FALSE,"Dist for Servicing fee";#N/A,#N/A,FALSE,"Wire from Collateral";#N/A,#N/A,FALSE,"Wire for Servicing Fee";#N/A,#N/A,FALSE,"Rate Sheet";#N/A,#N/A,FALSE,"Rate Sheet";#N/A,#N/A,FALSE,"Trans-Class A Res"}</definedName>
    <definedName name="wrn.Payment._.Forms." hidden="1">{#N/A,#N/A,FALSE,"Cash Transfers";#N/A,#N/A,FALSE,"Dist from Collateral";#N/A,#N/A,FALSE,"Dist for Servicing fee";#N/A,#N/A,FALSE,"Wire from Collateral";#N/A,#N/A,FALSE,"Wire for Servicing Fee";#N/A,#N/A,FALSE,"Rate Sheet";#N/A,#N/A,FALSE,"Rate Sheet";#N/A,#N/A,FALSE,"Trans-Class A Res"}</definedName>
    <definedName name="wrn.Payment._.Forms._1" localSheetId="0" hidden="1">{#N/A,#N/A,FALSE,"Cash Transfers";#N/A,#N/A,FALSE,"Dist from Collateral";#N/A,#N/A,FALSE,"Dist for Servicing fee";#N/A,#N/A,FALSE,"Wire from Collateral";#N/A,#N/A,FALSE,"Wire for Servicing Fee";#N/A,#N/A,FALSE,"Rate Sheet";#N/A,#N/A,FALSE,"Rate Sheet";#N/A,#N/A,FALSE,"Trans-Class A Res"}</definedName>
    <definedName name="wrn.Payment._.Forms._1" localSheetId="3" hidden="1">{#N/A,#N/A,FALSE,"Cash Transfers";#N/A,#N/A,FALSE,"Dist from Collateral";#N/A,#N/A,FALSE,"Dist for Servicing fee";#N/A,#N/A,FALSE,"Wire from Collateral";#N/A,#N/A,FALSE,"Wire for Servicing Fee";#N/A,#N/A,FALSE,"Rate Sheet";#N/A,#N/A,FALSE,"Rate Sheet";#N/A,#N/A,FALSE,"Trans-Class A Res"}</definedName>
    <definedName name="wrn.Payment._.Forms._1" hidden="1">{#N/A,#N/A,FALSE,"Cash Transfers";#N/A,#N/A,FALSE,"Dist from Collateral";#N/A,#N/A,FALSE,"Dist for Servicing fee";#N/A,#N/A,FALSE,"Wire from Collateral";#N/A,#N/A,FALSE,"Wire for Servicing Fee";#N/A,#N/A,FALSE,"Rate Sheet";#N/A,#N/A,FALSE,"Rate Sheet";#N/A,#N/A,FALSE,"Trans-Class A Res"}</definedName>
    <definedName name="WRN.PAYMENT._.FORMS.S" localSheetId="0" hidden="1">{#N/A,#N/A,FALSE,"Cash Transfers";#N/A,#N/A,FALSE,"Dist from Collateral";#N/A,#N/A,FALSE,"Dist for Servicing fee";#N/A,#N/A,FALSE,"Wire from Collateral";#N/A,#N/A,FALSE,"Wire for Servicing Fee";#N/A,#N/A,FALSE,"Rate Sheet";#N/A,#N/A,FALSE,"Rate Sheet";#N/A,#N/A,FALSE,"Trans-Class A Res"}</definedName>
    <definedName name="WRN.PAYMENT._.FORMS.S" localSheetId="3" hidden="1">{#N/A,#N/A,FALSE,"Cash Transfers";#N/A,#N/A,FALSE,"Dist from Collateral";#N/A,#N/A,FALSE,"Dist for Servicing fee";#N/A,#N/A,FALSE,"Wire from Collateral";#N/A,#N/A,FALSE,"Wire for Servicing Fee";#N/A,#N/A,FALSE,"Rate Sheet";#N/A,#N/A,FALSE,"Rate Sheet";#N/A,#N/A,FALSE,"Trans-Class A Res"}</definedName>
    <definedName name="WRN.PAYMENT._.FORMS.S" hidden="1">{#N/A,#N/A,FALSE,"Cash Transfers";#N/A,#N/A,FALSE,"Dist from Collateral";#N/A,#N/A,FALSE,"Dist for Servicing fee";#N/A,#N/A,FALSE,"Wire from Collateral";#N/A,#N/A,FALSE,"Wire for Servicing Fee";#N/A,#N/A,FALSE,"Rate Sheet";#N/A,#N/A,FALSE,"Rate Sheet";#N/A,#N/A,FALSE,"Trans-Class A Res"}</definedName>
    <definedName name="WRN.PAYMENT._.FORMS.S_1" localSheetId="0" hidden="1">{#N/A,#N/A,FALSE,"Cash Transfers";#N/A,#N/A,FALSE,"Dist from Collateral";#N/A,#N/A,FALSE,"Dist for Servicing fee";#N/A,#N/A,FALSE,"Wire from Collateral";#N/A,#N/A,FALSE,"Wire for Servicing Fee";#N/A,#N/A,FALSE,"Rate Sheet";#N/A,#N/A,FALSE,"Rate Sheet";#N/A,#N/A,FALSE,"Trans-Class A Res"}</definedName>
    <definedName name="WRN.PAYMENT._.FORMS.S_1" localSheetId="3" hidden="1">{#N/A,#N/A,FALSE,"Cash Transfers";#N/A,#N/A,FALSE,"Dist from Collateral";#N/A,#N/A,FALSE,"Dist for Servicing fee";#N/A,#N/A,FALSE,"Wire from Collateral";#N/A,#N/A,FALSE,"Wire for Servicing Fee";#N/A,#N/A,FALSE,"Rate Sheet";#N/A,#N/A,FALSE,"Rate Sheet";#N/A,#N/A,FALSE,"Trans-Class A Res"}</definedName>
    <definedName name="WRN.PAYMENT._.FORMS.S_1" hidden="1">{#N/A,#N/A,FALSE,"Cash Transfers";#N/A,#N/A,FALSE,"Dist from Collateral";#N/A,#N/A,FALSE,"Dist for Servicing fee";#N/A,#N/A,FALSE,"Wire from Collateral";#N/A,#N/A,FALSE,"Wire for Servicing Fee";#N/A,#N/A,FALSE,"Rate Sheet";#N/A,#N/A,FALSE,"Rate Sheet";#N/A,#N/A,FALSE,"Trans-Class A Res"}</definedName>
    <definedName name="wrn.PAYMENT._1" localSheetId="0" hidden="1">{#N/A,#N/A,FALSE,"Rate Sheet";#N/A,#N/A,FALSE,"TCB Fee Disb";#N/A,#N/A,FALSE,"Dist Advances";#N/A,#N/A,FALSE,"Dist Servicing fee";#N/A,#N/A,FALSE,"Dist excess";#N/A,#N/A,FALSE,"Wire to ICON";#N/A,#N/A,FALSE,"Dist Excluded"}</definedName>
    <definedName name="wrn.PAYMENT._1" localSheetId="3" hidden="1">{#N/A,#N/A,FALSE,"Rate Sheet";#N/A,#N/A,FALSE,"TCB Fee Disb";#N/A,#N/A,FALSE,"Dist Advances";#N/A,#N/A,FALSE,"Dist Servicing fee";#N/A,#N/A,FALSE,"Dist excess";#N/A,#N/A,FALSE,"Wire to ICON";#N/A,#N/A,FALSE,"Dist Excluded"}</definedName>
    <definedName name="wrn.PAYMENT._1" hidden="1">{#N/A,#N/A,FALSE,"Rate Sheet";#N/A,#N/A,FALSE,"TCB Fee Disb";#N/A,#N/A,FALSE,"Dist Advances";#N/A,#N/A,FALSE,"Dist Servicing fee";#N/A,#N/A,FALSE,"Dist excess";#N/A,#N/A,FALSE,"Wire to ICON";#N/A,#N/A,FALSE,"Dist Excluded"}</definedName>
    <definedName name="WRN.PAYMENT.T" localSheetId="0" hidden="1">{#N/A,#N/A,FALSE,"Rate Sheet";#N/A,#N/A,FALSE,"TCB Fee Disb";#N/A,#N/A,FALSE,"Dist Advances";#N/A,#N/A,FALSE,"Dist Servicing fee";#N/A,#N/A,FALSE,"Dist excess";#N/A,#N/A,FALSE,"Wire to ICON";#N/A,#N/A,FALSE,"Dist Excluded"}</definedName>
    <definedName name="WRN.PAYMENT.T" localSheetId="3" hidden="1">{#N/A,#N/A,FALSE,"Rate Sheet";#N/A,#N/A,FALSE,"TCB Fee Disb";#N/A,#N/A,FALSE,"Dist Advances";#N/A,#N/A,FALSE,"Dist Servicing fee";#N/A,#N/A,FALSE,"Dist excess";#N/A,#N/A,FALSE,"Wire to ICON";#N/A,#N/A,FALSE,"Dist Excluded"}</definedName>
    <definedName name="WRN.PAYMENT.T" hidden="1">{#N/A,#N/A,FALSE,"Rate Sheet";#N/A,#N/A,FALSE,"TCB Fee Disb";#N/A,#N/A,FALSE,"Dist Advances";#N/A,#N/A,FALSE,"Dist Servicing fee";#N/A,#N/A,FALSE,"Dist excess";#N/A,#N/A,FALSE,"Wire to ICON";#N/A,#N/A,FALSE,"Dist Excluded"}</definedName>
    <definedName name="WRN.PAYMENT.T_1" localSheetId="0" hidden="1">{#N/A,#N/A,FALSE,"Rate Sheet";#N/A,#N/A,FALSE,"TCB Fee Disb";#N/A,#N/A,FALSE,"Dist Advances";#N/A,#N/A,FALSE,"Dist Servicing fee";#N/A,#N/A,FALSE,"Dist excess";#N/A,#N/A,FALSE,"Wire to ICON";#N/A,#N/A,FALSE,"Dist Excluded"}</definedName>
    <definedName name="WRN.PAYMENT.T_1" localSheetId="3" hidden="1">{#N/A,#N/A,FALSE,"Rate Sheet";#N/A,#N/A,FALSE,"TCB Fee Disb";#N/A,#N/A,FALSE,"Dist Advances";#N/A,#N/A,FALSE,"Dist Servicing fee";#N/A,#N/A,FALSE,"Dist excess";#N/A,#N/A,FALSE,"Wire to ICON";#N/A,#N/A,FALSE,"Dist Excluded"}</definedName>
    <definedName name="WRN.PAYMENT.T_1" hidden="1">{#N/A,#N/A,FALSE,"Rate Sheet";#N/A,#N/A,FALSE,"TCB Fee Disb";#N/A,#N/A,FALSE,"Dist Advances";#N/A,#N/A,FALSE,"Dist Servicing fee";#N/A,#N/A,FALSE,"Dist excess";#N/A,#N/A,FALSE,"Wire to ICON";#N/A,#N/A,FALSE,"Dist Excluded"}</definedName>
    <definedName name="wrn.PierOne." localSheetId="0" hidden="1">{#N/A,#N/A,FALSE,"Wireform";#N/A,#N/A,FALSE,"Disbursement";#N/A,#N/A,FALSE,"Transfers"}</definedName>
    <definedName name="wrn.PierOne." localSheetId="3" hidden="1">{#N/A,#N/A,FALSE,"Wireform";#N/A,#N/A,FALSE,"Disbursement";#N/A,#N/A,FALSE,"Transfers"}</definedName>
    <definedName name="wrn.PierOne." hidden="1">{#N/A,#N/A,FALSE,"Wireform";#N/A,#N/A,FALSE,"Disbursement";#N/A,#N/A,FALSE,"Transfers"}</definedName>
    <definedName name="wrn.PierOne._1" localSheetId="0" hidden="1">{#N/A,#N/A,FALSE,"Wireform";#N/A,#N/A,FALSE,"Disbursement";#N/A,#N/A,FALSE,"Transfers"}</definedName>
    <definedName name="wrn.PierOne._1" localSheetId="3" hidden="1">{#N/A,#N/A,FALSE,"Wireform";#N/A,#N/A,FALSE,"Disbursement";#N/A,#N/A,FALSE,"Transfers"}</definedName>
    <definedName name="wrn.PierOne._1" hidden="1">{#N/A,#N/A,FALSE,"Wireform";#N/A,#N/A,FALSE,"Disbursement";#N/A,#N/A,FALSE,"Transfers"}</definedName>
    <definedName name="wrn.Print._.All." localSheetId="0" hidden="1">{#N/A,#N/A,FALSE,"Input Data Sheet";#N/A,#N/A,FALSE,"Turnover";#N/A,#N/A,FALSE,"NSAR";#N/A,#N/A,FALSE,"NAV Rollforward";#N/A,#N/A,FALSE,"Ratios-HUB";#N/A,#N/A,FALSE,"Ratios-Marathon";#N/A,#N/A,FALSE,"Ratios - Traditional";#N/A,#N/A,FALSE,"Ratios - Classic";#N/A,#N/A,FALSE,"Share Proof-Marathon";#N/A,#N/A,FALSE,"Share Proof-Traditional";#N/A,#N/A,FALSE,"Share Proof - Classic";#N/A,#N/A,FALSE,"Per Share-Marathon";#N/A,#N/A,FALSE,"Per Share-Traditional";#N/A,#N/A,FALSE,"Per Share-Classic";#N/A,#N/A,FALSE,"Capital Roll - Hub";#N/A,#N/A,FALSE,"Capital Roll - Spokes";#N/A,#N/A,FALSE,"Hastax"}</definedName>
    <definedName name="wrn.Print._.All." localSheetId="3" hidden="1">{#N/A,#N/A,FALSE,"Input Data Sheet";#N/A,#N/A,FALSE,"Turnover";#N/A,#N/A,FALSE,"NSAR";#N/A,#N/A,FALSE,"NAV Rollforward";#N/A,#N/A,FALSE,"Ratios-HUB";#N/A,#N/A,FALSE,"Ratios-Marathon";#N/A,#N/A,FALSE,"Ratios - Traditional";#N/A,#N/A,FALSE,"Ratios - Classic";#N/A,#N/A,FALSE,"Share Proof-Marathon";#N/A,#N/A,FALSE,"Share Proof-Traditional";#N/A,#N/A,FALSE,"Share Proof - Classic";#N/A,#N/A,FALSE,"Per Share-Marathon";#N/A,#N/A,FALSE,"Per Share-Traditional";#N/A,#N/A,FALSE,"Per Share-Classic";#N/A,#N/A,FALSE,"Capital Roll - Hub";#N/A,#N/A,FALSE,"Capital Roll - Spokes";#N/A,#N/A,FALSE,"Hastax"}</definedName>
    <definedName name="wrn.Print._.All." hidden="1">{#N/A,#N/A,FALSE,"Input Data Sheet";#N/A,#N/A,FALSE,"Turnover";#N/A,#N/A,FALSE,"NSAR";#N/A,#N/A,FALSE,"NAV Rollforward";#N/A,#N/A,FALSE,"Ratios-HUB";#N/A,#N/A,FALSE,"Ratios-Marathon";#N/A,#N/A,FALSE,"Ratios - Traditional";#N/A,#N/A,FALSE,"Ratios - Classic";#N/A,#N/A,FALSE,"Share Proof-Marathon";#N/A,#N/A,FALSE,"Share Proof-Traditional";#N/A,#N/A,FALSE,"Share Proof - Classic";#N/A,#N/A,FALSE,"Per Share-Marathon";#N/A,#N/A,FALSE,"Per Share-Traditional";#N/A,#N/A,FALSE,"Per Share-Classic";#N/A,#N/A,FALSE,"Capital Roll - Hub";#N/A,#N/A,FALSE,"Capital Roll - Spokes";#N/A,#N/A,FALSE,"Hastax"}</definedName>
    <definedName name="wrn.Print._.All._1" localSheetId="0" hidden="1">{#N/A,#N/A,FALSE,"Input Data Sheet";#N/A,#N/A,FALSE,"Turnover";#N/A,#N/A,FALSE,"NSAR";#N/A,#N/A,FALSE,"NAV Rollforward";#N/A,#N/A,FALSE,"Ratios-HUB";#N/A,#N/A,FALSE,"Ratios-Marathon";#N/A,#N/A,FALSE,"Ratios - Traditional";#N/A,#N/A,FALSE,"Ratios - Classic";#N/A,#N/A,FALSE,"Share Proof-Marathon";#N/A,#N/A,FALSE,"Share Proof-Traditional";#N/A,#N/A,FALSE,"Share Proof - Classic";#N/A,#N/A,FALSE,"Per Share-Marathon";#N/A,#N/A,FALSE,"Per Share-Traditional";#N/A,#N/A,FALSE,"Per Share-Classic";#N/A,#N/A,FALSE,"Capital Roll - Hub";#N/A,#N/A,FALSE,"Capital Roll - Spokes";#N/A,#N/A,FALSE,"Hastax"}</definedName>
    <definedName name="wrn.Print._.All._1" localSheetId="3" hidden="1">{#N/A,#N/A,FALSE,"Input Data Sheet";#N/A,#N/A,FALSE,"Turnover";#N/A,#N/A,FALSE,"NSAR";#N/A,#N/A,FALSE,"NAV Rollforward";#N/A,#N/A,FALSE,"Ratios-HUB";#N/A,#N/A,FALSE,"Ratios-Marathon";#N/A,#N/A,FALSE,"Ratios - Traditional";#N/A,#N/A,FALSE,"Ratios - Classic";#N/A,#N/A,FALSE,"Share Proof-Marathon";#N/A,#N/A,FALSE,"Share Proof-Traditional";#N/A,#N/A,FALSE,"Share Proof - Classic";#N/A,#N/A,FALSE,"Per Share-Marathon";#N/A,#N/A,FALSE,"Per Share-Traditional";#N/A,#N/A,FALSE,"Per Share-Classic";#N/A,#N/A,FALSE,"Capital Roll - Hub";#N/A,#N/A,FALSE,"Capital Roll - Spokes";#N/A,#N/A,FALSE,"Hastax"}</definedName>
    <definedName name="wrn.Print._.All._1" hidden="1">{#N/A,#N/A,FALSE,"Input Data Sheet";#N/A,#N/A,FALSE,"Turnover";#N/A,#N/A,FALSE,"NSAR";#N/A,#N/A,FALSE,"NAV Rollforward";#N/A,#N/A,FALSE,"Ratios-HUB";#N/A,#N/A,FALSE,"Ratios-Marathon";#N/A,#N/A,FALSE,"Ratios - Traditional";#N/A,#N/A,FALSE,"Ratios - Classic";#N/A,#N/A,FALSE,"Share Proof-Marathon";#N/A,#N/A,FALSE,"Share Proof-Traditional";#N/A,#N/A,FALSE,"Share Proof - Classic";#N/A,#N/A,FALSE,"Per Share-Marathon";#N/A,#N/A,FALSE,"Per Share-Traditional";#N/A,#N/A,FALSE,"Per Share-Classic";#N/A,#N/A,FALSE,"Capital Roll - Hub";#N/A,#N/A,FALSE,"Capital Roll - Spokes";#N/A,#N/A,FALSE,"Hastax"}</definedName>
    <definedName name="wrn.Print._.Classic." localSheetId="0" hidden="1">{#N/A,#N/A,FALSE,"Ratios - Classic";#N/A,#N/A,FALSE,"Share Proof - Classic";#N/A,#N/A,FALSE,"Per Share-Classic"}</definedName>
    <definedName name="wrn.Print._.Classic." localSheetId="3" hidden="1">{#N/A,#N/A,FALSE,"Ratios - Classic";#N/A,#N/A,FALSE,"Share Proof - Classic";#N/A,#N/A,FALSE,"Per Share-Classic"}</definedName>
    <definedName name="wrn.Print._.Classic." hidden="1">{#N/A,#N/A,FALSE,"Ratios - Classic";#N/A,#N/A,FALSE,"Share Proof - Classic";#N/A,#N/A,FALSE,"Per Share-Classic"}</definedName>
    <definedName name="wrn.Print._.Classic._1" localSheetId="0" hidden="1">{#N/A,#N/A,FALSE,"Ratios - Classic";#N/A,#N/A,FALSE,"Share Proof - Classic";#N/A,#N/A,FALSE,"Per Share-Classic"}</definedName>
    <definedName name="wrn.Print._.Classic._1" localSheetId="3" hidden="1">{#N/A,#N/A,FALSE,"Ratios - Classic";#N/A,#N/A,FALSE,"Share Proof - Classic";#N/A,#N/A,FALSE,"Per Share-Classic"}</definedName>
    <definedName name="wrn.Print._.Classic._1" hidden="1">{#N/A,#N/A,FALSE,"Ratios - Classic";#N/A,#N/A,FALSE,"Share Proof - Classic";#N/A,#N/A,FALSE,"Per Share-Classic"}</definedName>
    <definedName name="wrn.Print._.Hub." localSheetId="0" hidden="1">{#N/A,#N/A,FALSE,"Input Data Sheet";#N/A,#N/A,FALSE,"Turnover";#N/A,#N/A,FALSE,"NSAR";#N/A,#N/A,FALSE,"Ratios-HUB";#N/A,#N/A,FALSE,"Capital Roll - Hub"}</definedName>
    <definedName name="wrn.Print._.Hub." localSheetId="3" hidden="1">{#N/A,#N/A,FALSE,"Input Data Sheet";#N/A,#N/A,FALSE,"Turnover";#N/A,#N/A,FALSE,"NSAR";#N/A,#N/A,FALSE,"Ratios-HUB";#N/A,#N/A,FALSE,"Capital Roll - Hub"}</definedName>
    <definedName name="wrn.Print._.Hub." hidden="1">{#N/A,#N/A,FALSE,"Input Data Sheet";#N/A,#N/A,FALSE,"Turnover";#N/A,#N/A,FALSE,"NSAR";#N/A,#N/A,FALSE,"Ratios-HUB";#N/A,#N/A,FALSE,"Capital Roll - Hub"}</definedName>
    <definedName name="wrn.Print._.Hub._1" localSheetId="0" hidden="1">{#N/A,#N/A,FALSE,"Input Data Sheet";#N/A,#N/A,FALSE,"Turnover";#N/A,#N/A,FALSE,"NSAR";#N/A,#N/A,FALSE,"Ratios-HUB";#N/A,#N/A,FALSE,"Capital Roll - Hub"}</definedName>
    <definedName name="wrn.Print._.Hub._1" localSheetId="3" hidden="1">{#N/A,#N/A,FALSE,"Input Data Sheet";#N/A,#N/A,FALSE,"Turnover";#N/A,#N/A,FALSE,"NSAR";#N/A,#N/A,FALSE,"Ratios-HUB";#N/A,#N/A,FALSE,"Capital Roll - Hub"}</definedName>
    <definedName name="wrn.Print._.Hub._1" hidden="1">{#N/A,#N/A,FALSE,"Input Data Sheet";#N/A,#N/A,FALSE,"Turnover";#N/A,#N/A,FALSE,"NSAR";#N/A,#N/A,FALSE,"Ratios-HUB";#N/A,#N/A,FALSE,"Capital Roll - Hub"}</definedName>
    <definedName name="wrn.Print._.Marathon." localSheetId="0" hidden="1">{#N/A,#N/A,FALSE,"Ratios-Marathon";#N/A,#N/A,FALSE,"Share Proof-Marathon";#N/A,#N/A,FALSE,"Per Share-Marathon"}</definedName>
    <definedName name="wrn.Print._.Marathon." localSheetId="3" hidden="1">{#N/A,#N/A,FALSE,"Ratios-Marathon";#N/A,#N/A,FALSE,"Share Proof-Marathon";#N/A,#N/A,FALSE,"Per Share-Marathon"}</definedName>
    <definedName name="wrn.Print._.Marathon." hidden="1">{#N/A,#N/A,FALSE,"Ratios-Marathon";#N/A,#N/A,FALSE,"Share Proof-Marathon";#N/A,#N/A,FALSE,"Per Share-Marathon"}</definedName>
    <definedName name="wrn.Print._.Marathon._1" localSheetId="0" hidden="1">{#N/A,#N/A,FALSE,"Ratios-Marathon";#N/A,#N/A,FALSE,"Share Proof-Marathon";#N/A,#N/A,FALSE,"Per Share-Marathon"}</definedName>
    <definedName name="wrn.Print._.Marathon._1" localSheetId="3" hidden="1">{#N/A,#N/A,FALSE,"Ratios-Marathon";#N/A,#N/A,FALSE,"Share Proof-Marathon";#N/A,#N/A,FALSE,"Per Share-Marathon"}</definedName>
    <definedName name="wrn.Print._.Marathon._1" hidden="1">{#N/A,#N/A,FALSE,"Ratios-Marathon";#N/A,#N/A,FALSE,"Share Proof-Marathon";#N/A,#N/A,FALSE,"Per Share-Marathon"}</definedName>
    <definedName name="wrn.Print._.Medallion." localSheetId="0" hidden="1">{#N/A,#N/A,FALSE,"Ratios - Medallion Class A";#N/A,#N/A,FALSE,"Ratios - Medallion Class B";#N/A,#N/A,FALSE,"Share Proof - Medallion A";#N/A,#N/A,FALSE,"Share Proof - Medallion B";#N/A,#N/A,FALSE,"Per Share-Medallion A";#N/A,#N/A,FALSE,"Per Share-Medallion B"}</definedName>
    <definedName name="wrn.Print._.Medallion." localSheetId="3" hidden="1">{#N/A,#N/A,FALSE,"Ratios - Medallion Class A";#N/A,#N/A,FALSE,"Ratios - Medallion Class B";#N/A,#N/A,FALSE,"Share Proof - Medallion A";#N/A,#N/A,FALSE,"Share Proof - Medallion B";#N/A,#N/A,FALSE,"Per Share-Medallion A";#N/A,#N/A,FALSE,"Per Share-Medallion B"}</definedName>
    <definedName name="wrn.Print._.Medallion." hidden="1">{#N/A,#N/A,FALSE,"Ratios - Medallion Class A";#N/A,#N/A,FALSE,"Ratios - Medallion Class B";#N/A,#N/A,FALSE,"Share Proof - Medallion A";#N/A,#N/A,FALSE,"Share Proof - Medallion B";#N/A,#N/A,FALSE,"Per Share-Medallion A";#N/A,#N/A,FALSE,"Per Share-Medallion B"}</definedName>
    <definedName name="wrn.Print._.Medallion._1" localSheetId="0" hidden="1">{#N/A,#N/A,FALSE,"Ratios - Medallion Class A";#N/A,#N/A,FALSE,"Ratios - Medallion Class B";#N/A,#N/A,FALSE,"Share Proof - Medallion A";#N/A,#N/A,FALSE,"Share Proof - Medallion B";#N/A,#N/A,FALSE,"Per Share-Medallion A";#N/A,#N/A,FALSE,"Per Share-Medallion B"}</definedName>
    <definedName name="wrn.Print._.Medallion._1" localSheetId="3" hidden="1">{#N/A,#N/A,FALSE,"Ratios - Medallion Class A";#N/A,#N/A,FALSE,"Ratios - Medallion Class B";#N/A,#N/A,FALSE,"Share Proof - Medallion A";#N/A,#N/A,FALSE,"Share Proof - Medallion B";#N/A,#N/A,FALSE,"Per Share-Medallion A";#N/A,#N/A,FALSE,"Per Share-Medallion B"}</definedName>
    <definedName name="wrn.Print._.Medallion._1" hidden="1">{#N/A,#N/A,FALSE,"Ratios - Medallion Class A";#N/A,#N/A,FALSE,"Ratios - Medallion Class B";#N/A,#N/A,FALSE,"Share Proof - Medallion A";#N/A,#N/A,FALSE,"Share Proof - Medallion B";#N/A,#N/A,FALSE,"Per Share-Medallion A";#N/A,#N/A,FALSE,"Per Share-Medallion B"}</definedName>
    <definedName name="wrn.Print._.Spokes." localSheetId="0" hidden="1">{#N/A,#N/A,FALSE,"Input Data Sheet";#N/A,#N/A,FALSE,"NAV rollforward";#N/A,#N/A,FALSE,"Capital Roll - Spokes";#N/A,#N/A,FALSE,"Hastax"}</definedName>
    <definedName name="wrn.Print._.Spokes." localSheetId="3" hidden="1">{#N/A,#N/A,FALSE,"Input Data Sheet";#N/A,#N/A,FALSE,"NAV rollforward";#N/A,#N/A,FALSE,"Capital Roll - Spokes";#N/A,#N/A,FALSE,"Hastax"}</definedName>
    <definedName name="wrn.Print._.Spokes." hidden="1">{#N/A,#N/A,FALSE,"Input Data Sheet";#N/A,#N/A,FALSE,"NAV rollforward";#N/A,#N/A,FALSE,"Capital Roll - Spokes";#N/A,#N/A,FALSE,"Hastax"}</definedName>
    <definedName name="wrn.Print._.Spokes._1" localSheetId="0" hidden="1">{#N/A,#N/A,FALSE,"Input Data Sheet";#N/A,#N/A,FALSE,"NAV rollforward";#N/A,#N/A,FALSE,"Capital Roll - Spokes";#N/A,#N/A,FALSE,"Hastax"}</definedName>
    <definedName name="wrn.Print._.Spokes._1" localSheetId="3" hidden="1">{#N/A,#N/A,FALSE,"Input Data Sheet";#N/A,#N/A,FALSE,"NAV rollforward";#N/A,#N/A,FALSE,"Capital Roll - Spokes";#N/A,#N/A,FALSE,"Hastax"}</definedName>
    <definedName name="wrn.Print._.Spokes._1" hidden="1">{#N/A,#N/A,FALSE,"Input Data Sheet";#N/A,#N/A,FALSE,"NAV rollforward";#N/A,#N/A,FALSE,"Capital Roll - Spokes";#N/A,#N/A,FALSE,"Hastax"}</definedName>
    <definedName name="wrn.Print._.Traditional." localSheetId="0" hidden="1">{#N/A,#N/A,FALSE,"Ratios - Traditional";#N/A,#N/A,FALSE,"Share Proof-Traditional";#N/A,#N/A,FALSE,"Per Share-Traditional"}</definedName>
    <definedName name="wrn.Print._.Traditional." localSheetId="3" hidden="1">{#N/A,#N/A,FALSE,"Ratios - Traditional";#N/A,#N/A,FALSE,"Share Proof-Traditional";#N/A,#N/A,FALSE,"Per Share-Traditional"}</definedName>
    <definedName name="wrn.Print._.Traditional." hidden="1">{#N/A,#N/A,FALSE,"Ratios - Traditional";#N/A,#N/A,FALSE,"Share Proof-Traditional";#N/A,#N/A,FALSE,"Per Share-Traditional"}</definedName>
    <definedName name="wrn.Print._.Traditional._1" localSheetId="0" hidden="1">{#N/A,#N/A,FALSE,"Ratios - Traditional";#N/A,#N/A,FALSE,"Share Proof-Traditional";#N/A,#N/A,FALSE,"Per Share-Traditional"}</definedName>
    <definedName name="wrn.Print._.Traditional._1" localSheetId="3" hidden="1">{#N/A,#N/A,FALSE,"Ratios - Traditional";#N/A,#N/A,FALSE,"Share Proof-Traditional";#N/A,#N/A,FALSE,"Per Share-Traditional"}</definedName>
    <definedName name="wrn.Print._.Traditional._1" hidden="1">{#N/A,#N/A,FALSE,"Ratios - Traditional";#N/A,#N/A,FALSE,"Share Proof-Traditional";#N/A,#N/A,FALSE,"Per Share-Traditional"}</definedName>
    <definedName name="wrn.Weekly._.Transaction." localSheetId="0" hidden="1">{#N/A,#N/A,FALSE,"Spread";#N/A,#N/A,FALSE,"Weekly TD#1";#N/A,#N/A,FALSE,"Weekly TD#2";#N/A,#N/A,FALSE,"Weekly STB#1";#N/A,#N/A,FALSE,"Tickler";#N/A,#N/A,FALSE,"Weekly Report";#N/A,#N/A,FALSE,"Int@180"}</definedName>
    <definedName name="wrn.Weekly._.Transaction." localSheetId="3" hidden="1">{#N/A,#N/A,FALSE,"Spread";#N/A,#N/A,FALSE,"Weekly TD#1";#N/A,#N/A,FALSE,"Weekly TD#2";#N/A,#N/A,FALSE,"Weekly STB#1";#N/A,#N/A,FALSE,"Tickler";#N/A,#N/A,FALSE,"Weekly Report";#N/A,#N/A,FALSE,"Int@180"}</definedName>
    <definedName name="wrn.Weekly._.Transaction." hidden="1">{#N/A,#N/A,FALSE,"Spread";#N/A,#N/A,FALSE,"Weekly TD#1";#N/A,#N/A,FALSE,"Weekly TD#2";#N/A,#N/A,FALSE,"Weekly STB#1";#N/A,#N/A,FALSE,"Tickler";#N/A,#N/A,FALSE,"Weekly Report";#N/A,#N/A,FALSE,"Int@180"}</definedName>
    <definedName name="wrn.Weekly._.Transaction._1" localSheetId="0" hidden="1">{#N/A,#N/A,FALSE,"Spread";#N/A,#N/A,FALSE,"Weekly TD#1";#N/A,#N/A,FALSE,"Weekly TD#2";#N/A,#N/A,FALSE,"Weekly STB#1";#N/A,#N/A,FALSE,"Tickler";#N/A,#N/A,FALSE,"Weekly Report";#N/A,#N/A,FALSE,"Int@180"}</definedName>
    <definedName name="wrn.Weekly._.Transaction._1" localSheetId="3" hidden="1">{#N/A,#N/A,FALSE,"Spread";#N/A,#N/A,FALSE,"Weekly TD#1";#N/A,#N/A,FALSE,"Weekly TD#2";#N/A,#N/A,FALSE,"Weekly STB#1";#N/A,#N/A,FALSE,"Tickler";#N/A,#N/A,FALSE,"Weekly Report";#N/A,#N/A,FALSE,"Int@180"}</definedName>
    <definedName name="wrn.Weekly._.Transaction._1" hidden="1">{#N/A,#N/A,FALSE,"Spread";#N/A,#N/A,FALSE,"Weekly TD#1";#N/A,#N/A,FALSE,"Weekly TD#2";#N/A,#N/A,FALSE,"Weekly STB#1";#N/A,#N/A,FALSE,"Tickler";#N/A,#N/A,FALSE,"Weekly Report";#N/A,#N/A,FALSE,"Int@180"}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27" l="1" a="1"/>
  <c r="G17" i="27" s="1"/>
  <c r="F17" i="27" a="1"/>
  <c r="F17" i="27" s="1"/>
  <c r="D2" i="40" l="1"/>
  <c r="K27" i="27" a="1"/>
  <c r="K27" i="27" s="1"/>
  <c r="K25" i="27" a="1"/>
  <c r="K25" i="27" s="1"/>
  <c r="K26" i="27" a="1"/>
  <c r="K26" i="27" s="1"/>
  <c r="K28" i="27" a="1"/>
  <c r="K28" i="27" s="1"/>
  <c r="K29" i="27" a="1"/>
  <c r="K29" i="27" s="1"/>
  <c r="K30" i="27" a="1"/>
  <c r="K30" i="27" s="1"/>
  <c r="K31" i="27" a="1"/>
  <c r="K31" i="27" s="1"/>
  <c r="K32" i="27" a="1"/>
  <c r="K32" i="27"/>
  <c r="K33" i="27" a="1"/>
  <c r="K33" i="27" s="1"/>
  <c r="K34" i="27" a="1"/>
  <c r="K34" i="27" s="1"/>
  <c r="K35" i="27" a="1"/>
  <c r="K35" i="27"/>
  <c r="K36" i="27" a="1"/>
  <c r="K36" i="27" s="1"/>
  <c r="K37" i="27" a="1"/>
  <c r="K37" i="27" s="1"/>
  <c r="K38" i="27" a="1"/>
  <c r="K38" i="27" s="1"/>
  <c r="K39" i="27" a="1"/>
  <c r="K39" i="27" s="1"/>
  <c r="K40" i="27" a="1"/>
  <c r="K40" i="27"/>
  <c r="K41" i="27" a="1"/>
  <c r="K41" i="27" s="1"/>
  <c r="K42" i="27" a="1"/>
  <c r="K42" i="27" s="1"/>
  <c r="K43" i="27" a="1"/>
  <c r="K43" i="27"/>
  <c r="K44" i="27" a="1"/>
  <c r="K44" i="27" s="1"/>
  <c r="K45" i="27" a="1"/>
  <c r="K45" i="27" s="1"/>
  <c r="K46" i="27" a="1"/>
  <c r="K46" i="27" s="1"/>
  <c r="K47" i="27" a="1"/>
  <c r="K47" i="27" s="1"/>
  <c r="K48" i="27" a="1"/>
  <c r="K48" i="27" s="1"/>
  <c r="K49" i="27" a="1"/>
  <c r="K49" i="27" s="1"/>
  <c r="K50" i="27" a="1"/>
  <c r="K50" i="27" s="1"/>
  <c r="K51" i="27" a="1"/>
  <c r="K51" i="27"/>
  <c r="K52" i="27" a="1"/>
  <c r="K52" i="27" s="1"/>
  <c r="K53" i="27" a="1"/>
  <c r="K53" i="27" s="1"/>
  <c r="K24" i="27" a="1"/>
  <c r="K24" i="27" s="1"/>
  <c r="B97" i="27"/>
  <c r="B95" i="27"/>
  <c r="J27" i="27" a="1"/>
  <c r="J27" i="27" s="1"/>
  <c r="J25" i="27" a="1"/>
  <c r="J25" i="27" s="1"/>
  <c r="J26" i="27" a="1"/>
  <c r="J26" i="27" s="1"/>
  <c r="G10" i="27" l="1" a="1"/>
  <c r="G10" i="27" s="1"/>
  <c r="F10" i="27" a="1"/>
  <c r="F10" i="27" s="1"/>
  <c r="A34" i="23" l="1"/>
  <c r="A32" i="23"/>
  <c r="J24" i="27" l="1" a="1"/>
  <c r="J24" i="27" s="1"/>
  <c r="H6" i="27"/>
  <c r="J53" i="27" l="1" a="1"/>
  <c r="J53" i="27" s="1"/>
  <c r="J52" i="27" a="1"/>
  <c r="J52" i="27" s="1"/>
  <c r="J51" i="27" a="1"/>
  <c r="J51" i="27" s="1"/>
  <c r="J50" i="27" a="1"/>
  <c r="J50" i="27" s="1"/>
  <c r="J49" i="27" a="1"/>
  <c r="J49" i="27" s="1"/>
  <c r="J48" i="27" a="1"/>
  <c r="J48" i="27" s="1"/>
  <c r="J47" i="27" a="1"/>
  <c r="J47" i="27" s="1"/>
  <c r="J46" i="27" a="1"/>
  <c r="J46" i="27" s="1"/>
  <c r="J45" i="27" a="1"/>
  <c r="J45" i="27" s="1"/>
  <c r="J44" i="27" a="1"/>
  <c r="J44" i="27" s="1"/>
  <c r="J43" i="27" a="1"/>
  <c r="J43" i="27" s="1"/>
  <c r="J42" i="27" a="1"/>
  <c r="J42" i="27" s="1"/>
  <c r="J41" i="27" a="1"/>
  <c r="J41" i="27" s="1"/>
  <c r="J40" i="27" a="1"/>
  <c r="J40" i="27" s="1"/>
  <c r="J39" i="27" a="1"/>
  <c r="J39" i="27" s="1"/>
  <c r="J38" i="27" a="1"/>
  <c r="J38" i="27" s="1"/>
  <c r="J37" i="27" a="1"/>
  <c r="J37" i="27" s="1"/>
  <c r="J36" i="27" a="1"/>
  <c r="J36" i="27" s="1"/>
  <c r="J35" i="27" a="1"/>
  <c r="J35" i="27" s="1"/>
  <c r="J34" i="27" a="1"/>
  <c r="J34" i="27" s="1"/>
  <c r="J33" i="27" a="1"/>
  <c r="J33" i="27" s="1"/>
  <c r="J32" i="27" a="1"/>
  <c r="J32" i="27" s="1"/>
  <c r="J31" i="27" a="1"/>
  <c r="J31" i="27" s="1"/>
  <c r="J30" i="27" a="1"/>
  <c r="J30" i="27" s="1"/>
  <c r="J29" i="27" a="1"/>
  <c r="J29" i="27" s="1"/>
  <c r="J28" i="27" a="1"/>
  <c r="J28" i="27" s="1"/>
  <c r="C12" i="27"/>
  <c r="C17" i="27" l="1"/>
  <c r="C20" i="27" s="1"/>
  <c r="F20" i="27"/>
  <c r="G11" i="27" l="1"/>
  <c r="G13" i="27"/>
  <c r="F11" i="27"/>
  <c r="F13" i="27"/>
  <c r="H17" i="27"/>
  <c r="H10" i="27"/>
  <c r="H11"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<sst xmlns="http://schemas.openxmlformats.org/spreadsheetml/2006/main" count="160" uniqueCount="151">
  <si>
    <t>Definition</t>
  </si>
  <si>
    <t>Capital Call: Investments</t>
  </si>
  <si>
    <t>Capital Call: Working Capital</t>
  </si>
  <si>
    <t>Capital Call: Fund-level Subscription Facility Fees/Interest</t>
  </si>
  <si>
    <t>Return of unused capital called for portfolio investments (typically increases unfunded commitment).</t>
  </si>
  <si>
    <t>Return of unused capital called for management fees or partnership expenses (typically increases unfunded commitment).</t>
  </si>
  <si>
    <t>Capital Call: Partnership Expenses</t>
  </si>
  <si>
    <t>Capital Call: Placement Agent Fees</t>
  </si>
  <si>
    <t>Distribution: Clawback</t>
  </si>
  <si>
    <t>USD</t>
  </si>
  <si>
    <t>ILPA Capital Call &amp; Distribution Template</t>
  </si>
  <si>
    <t>Fund Name</t>
  </si>
  <si>
    <t>Fund Currency</t>
  </si>
  <si>
    <t>Fund Size</t>
  </si>
  <si>
    <t>Transaction Description</t>
  </si>
  <si>
    <t>Transaction Type</t>
  </si>
  <si>
    <t>Best Practices Fund II, L.P.</t>
  </si>
  <si>
    <t>Impact on Unfunded</t>
  </si>
  <si>
    <t>Contributions</t>
  </si>
  <si>
    <t>Distributions</t>
  </si>
  <si>
    <t>LP / ID Number</t>
  </si>
  <si>
    <t>LP Commitment</t>
  </si>
  <si>
    <t>Notice Date</t>
  </si>
  <si>
    <t>Due Date</t>
  </si>
  <si>
    <r>
      <t>Fund Amount</t>
    </r>
    <r>
      <rPr>
        <sz val="10"/>
        <rFont val="Arial"/>
        <family val="2"/>
      </rPr>
      <t xml:space="preserve"> (Current Notice)</t>
    </r>
  </si>
  <si>
    <r>
      <t xml:space="preserve">LP % of Fund </t>
    </r>
    <r>
      <rPr>
        <sz val="10"/>
        <rFont val="Arial"/>
        <family val="2"/>
      </rPr>
      <t>(LP Commitment / Fund Size)</t>
    </r>
  </si>
  <si>
    <r>
      <t>LP Amount</t>
    </r>
    <r>
      <rPr>
        <sz val="10"/>
        <rFont val="Arial"/>
        <family val="2"/>
      </rPr>
      <t xml:space="preserve"> (Current Notice)</t>
    </r>
  </si>
  <si>
    <t>As a % of Fund Amount</t>
  </si>
  <si>
    <t>LP #5</t>
  </si>
  <si>
    <r>
      <t xml:space="preserve">Impact on Unfunded Commitment
</t>
    </r>
    <r>
      <rPr>
        <sz val="10"/>
        <color theme="0"/>
        <rFont val="Arial"/>
        <family val="2"/>
      </rPr>
      <t>(Increase/Decrease)</t>
    </r>
  </si>
  <si>
    <r>
      <t xml:space="preserve">Impact on Unfunded Commitment
</t>
    </r>
    <r>
      <rPr>
        <sz val="10"/>
        <color theme="0"/>
        <rFont val="Arial"/>
        <family val="2"/>
      </rPr>
      <t>(Value)</t>
    </r>
  </si>
  <si>
    <t>Increase</t>
  </si>
  <si>
    <t>Decrease</t>
  </si>
  <si>
    <r>
      <t xml:space="preserve">LP Unfunded Balance </t>
    </r>
    <r>
      <rPr>
        <sz val="10"/>
        <rFont val="Arial"/>
        <family val="2"/>
      </rPr>
      <t>(Prior to Current Notice)</t>
    </r>
  </si>
  <si>
    <r>
      <t xml:space="preserve">Impact on LP Unfunded Balance </t>
    </r>
    <r>
      <rPr>
        <sz val="10"/>
        <rFont val="Arial"/>
        <family val="2"/>
      </rPr>
      <t>(Current Notice)</t>
    </r>
  </si>
  <si>
    <r>
      <t xml:space="preserve">LP Unfunded Balance </t>
    </r>
    <r>
      <rPr>
        <sz val="10"/>
        <rFont val="Arial"/>
        <family val="2"/>
      </rPr>
      <t>(Including Current Notice)</t>
    </r>
  </si>
  <si>
    <t>No Impact</t>
  </si>
  <si>
    <t>Capital Call: Deemed GP Contribution from LPs</t>
  </si>
  <si>
    <t>Capital Call: Subsequent Close Interest</t>
  </si>
  <si>
    <t>Distribution: Carry</t>
  </si>
  <si>
    <t>Distribution: Other (Provide explanation in far-left column)</t>
  </si>
  <si>
    <t>Capital Call: Other (Provide explanation in far-left column)</t>
  </si>
  <si>
    <t>Distribution: Income</t>
  </si>
  <si>
    <t>Distribution: Dividends</t>
  </si>
  <si>
    <t>Distribution: Return of Capital - Cash</t>
  </si>
  <si>
    <t>Distribution: Return of Capital - Stock</t>
  </si>
  <si>
    <t>Distribution: Subsequent Close Interest</t>
  </si>
  <si>
    <t>Distribution: Tax Withheld</t>
  </si>
  <si>
    <r>
      <t xml:space="preserve">LP Amount
</t>
    </r>
    <r>
      <rPr>
        <sz val="10"/>
        <color theme="0"/>
        <rFont val="Arial"/>
        <family val="2"/>
      </rPr>
      <t>(Input Positive Values)</t>
    </r>
  </si>
  <si>
    <t>Distribution: Realized Gain / (Loss) - Cash (input negative value for loss)</t>
  </si>
  <si>
    <t>Distribution: Realized Gain / (Loss) - Stock (input negative value for loss)</t>
  </si>
  <si>
    <r>
      <t xml:space="preserve">Net Amount 
Called / (Distributed)
</t>
    </r>
    <r>
      <rPr>
        <sz val="10"/>
        <color theme="0"/>
        <rFont val="Arial"/>
        <family val="2"/>
      </rPr>
      <t>(Value)</t>
    </r>
  </si>
  <si>
    <t>LP Total Net Amount Called / (Distributed)</t>
  </si>
  <si>
    <t>Inside Fund</t>
  </si>
  <si>
    <t>Outside Fund</t>
  </si>
  <si>
    <t>Call from LPs, on behalf of GP's share of a capital call (typically serves as an offset to future management fees).</t>
  </si>
  <si>
    <t>Call for fees/interest incurred by the private fund resulting from the use of a fund-level subscription facility.</t>
  </si>
  <si>
    <t>Return of excess carry distributed to GP, as defined by the waterfall calculation in the private fund’s organizational and offering documents (offset to Carry).</t>
  </si>
  <si>
    <t>Interest income earned from portfolio investments.</t>
  </si>
  <si>
    <t>Dividend income earned from portfolio investments.</t>
  </si>
  <si>
    <t>Realized gain or loss from the full or partial sale of a portfolio investment.</t>
  </si>
  <si>
    <t>Return of invested capital from the full or partial sale of a portfolio investment.</t>
  </si>
  <si>
    <t>Return of invested capital from the full or partial sale of a portfolio investment, specifically the cost basis of any stock distribution.</t>
  </si>
  <si>
    <t>Realized gain or loss from the full or partial sale of a portfolio investment, specifically realized gains or losses from a stock distribution.</t>
  </si>
  <si>
    <t>Use of the proceeds from a NAV-based facility to fund a distribution to investors.</t>
  </si>
  <si>
    <t>Distribution: From NAV-Based Facility</t>
  </si>
  <si>
    <t>Other Unfunded Adjustment</t>
  </si>
  <si>
    <r>
      <t xml:space="preserve">Expired/Released Commitments </t>
    </r>
    <r>
      <rPr>
        <sz val="10"/>
        <rFont val="Arial"/>
        <family val="2"/>
      </rPr>
      <t>(Input negative value)</t>
    </r>
  </si>
  <si>
    <t>Capital Call: Total Amount - Inside Fund</t>
  </si>
  <si>
    <t>Capital Call: Total Amount - Outside Fund</t>
  </si>
  <si>
    <t>Net Cash Flow</t>
  </si>
  <si>
    <r>
      <t xml:space="preserve">LP % of Unfunded </t>
    </r>
    <r>
      <rPr>
        <sz val="10"/>
        <rFont val="Arial"/>
        <family val="2"/>
      </rPr>
      <t xml:space="preserve">(% of Total Fund Unfunded) - </t>
    </r>
    <r>
      <rPr>
        <b/>
        <sz val="10"/>
        <rFont val="Arial"/>
        <family val="2"/>
      </rPr>
      <t>Optional</t>
    </r>
  </si>
  <si>
    <t>Inside / Outside Fund</t>
  </si>
  <si>
    <t>Inside or Outside</t>
  </si>
  <si>
    <t>Inside</t>
  </si>
  <si>
    <t>Outside</t>
  </si>
  <si>
    <t>Capital Call: Management Fees</t>
  </si>
  <si>
    <t>Time Period</t>
  </si>
  <si>
    <t>Gross Calculation</t>
  </si>
  <si>
    <t>Waiver Amount</t>
  </si>
  <si>
    <t>Fee Offset</t>
  </si>
  <si>
    <t>Calculation Basis, per LPA</t>
  </si>
  <si>
    <t>Distributable Cash</t>
  </si>
  <si>
    <t>Return of Capital</t>
  </si>
  <si>
    <t>Investor X</t>
  </si>
  <si>
    <t>All LPs</t>
  </si>
  <si>
    <t>GP</t>
  </si>
  <si>
    <t>Total</t>
  </si>
  <si>
    <t>Call for follow-on investment into XYZ company</t>
  </si>
  <si>
    <t>Overview</t>
  </si>
  <si>
    <t>Variance</t>
  </si>
  <si>
    <t>Reason for Variance</t>
  </si>
  <si>
    <t>The guidance below is intended to communicate the expectations and context necessary to provide industry participants with a better understanding of the Capital Call &amp; Distribution Template.</t>
  </si>
  <si>
    <t>Call for periodic Management Fees as defined in the private fund’s organizational and offering documents that set forth the applicable calculation methodology, net of any waivers, offsets, rebates and discounts; Includes calls for fees both inside and outside commitment. Calls for fees inside of commitment reduce unfunded commitment, whereas calls for fees outside of commitment do not reduce unfunded commitment. Also includes any deemed contributions that are partially or completely netted with distributions.</t>
  </si>
  <si>
    <t>Return of unused capital called by the private fund from investors (typically increases unfunded commitment).</t>
  </si>
  <si>
    <t>Call for investments into new or existing portfolio investments. Includes any deemed contributions that are partially or completely netted with distributions.</t>
  </si>
  <si>
    <t>Call for Partnership Expenses as defined in the private fund’s organizational and offering documents, net of any offsets; Includes calls for Partnership expenses both inside and outside commitment. Calls for Partnership Expenses inside of commitment reduce unfunded commitment, whereas calls for Partnership Expenses outside of commitment do not reduce unfunded commitment. Includes any expenses related to the organization or establishment of the Fund. Also includes any deemed contributions that are partially or completely netted with distributions.</t>
  </si>
  <si>
    <t>Call for capital from investors when final use of funds has not been determined. Most often used by Fund of Funds or Private Credit funds that call larger amounts of capital, which often results in a balance of extra cash held by the private fund. May also be used by a Fund that maintains an extra cash balance as a contingency for unforeseen Fund expenses. Includes any deemed contributions that are partially or completely netted with distributions.</t>
  </si>
  <si>
    <t>GP's share of distribution proceeds, as defined by the waterfall calculation in the private fund’s organizational and offering documents (offset to distribution).</t>
  </si>
  <si>
    <t xml:space="preserve">Call from investors for any purpose (i.e., capital calls for investments, management fees, partnership expenses, etc., should all be included). </t>
  </si>
  <si>
    <t>Distribution to LPs resulting from an overpayment of taxes or application of a reduced rate.</t>
  </si>
  <si>
    <t>GP Commitment Amount</t>
  </si>
  <si>
    <r>
      <t xml:space="preserve">Cumulative LP Amount </t>
    </r>
    <r>
      <rPr>
        <sz val="10"/>
        <rFont val="Arial"/>
        <family val="2"/>
      </rPr>
      <t>(Prior to Current Notice)</t>
    </r>
  </si>
  <si>
    <r>
      <t xml:space="preserve">Cumulative LP Amount </t>
    </r>
    <r>
      <rPr>
        <sz val="10"/>
        <rFont val="Arial"/>
        <family val="2"/>
      </rPr>
      <t>(Including Current Notice)</t>
    </r>
  </si>
  <si>
    <t>Clawback Questions</t>
  </si>
  <si>
    <t>If Yes: What is the Amount?</t>
  </si>
  <si>
    <t>If Yes: What is the Proposed Remedy?</t>
  </si>
  <si>
    <r>
      <t xml:space="preserve">Balance Name </t>
    </r>
    <r>
      <rPr>
        <sz val="10"/>
        <rFont val="Arial"/>
        <family val="2"/>
      </rPr>
      <t>(e.g., LP Unfunded Balance)</t>
    </r>
  </si>
  <si>
    <r>
      <t>Ending Balance - Prior Period</t>
    </r>
    <r>
      <rPr>
        <sz val="10"/>
        <rFont val="Arial"/>
        <family val="2"/>
      </rPr>
      <t xml:space="preserve"> (As reported in a prior notice)</t>
    </r>
  </si>
  <si>
    <r>
      <t xml:space="preserve">Ending Balance - Current Period </t>
    </r>
    <r>
      <rPr>
        <sz val="10"/>
        <rFont val="Arial"/>
        <family val="2"/>
      </rPr>
      <t>(As reported in the current notice)</t>
    </r>
  </si>
  <si>
    <r>
      <t>Supplemental Calculations</t>
    </r>
    <r>
      <rPr>
        <b/>
        <sz val="12"/>
        <rFont val="Arial"/>
        <family val="2"/>
      </rPr>
      <t xml:space="preserve"> - Optional</t>
    </r>
  </si>
  <si>
    <t>G/L - pre LP/GP Split</t>
  </si>
  <si>
    <t>G/L - after LP/GP Split</t>
  </si>
  <si>
    <r>
      <t xml:space="preserve">Capital Call: Management Fees </t>
    </r>
    <r>
      <rPr>
        <sz val="10"/>
        <rFont val="Arial"/>
        <family val="2"/>
      </rPr>
      <t>(Investor #X)</t>
    </r>
  </si>
  <si>
    <r>
      <t>Carry Paid/</t>
    </r>
    <r>
      <rPr>
        <sz val="10"/>
        <rFont val="Arial"/>
        <family val="2"/>
      </rPr>
      <t>(Received)</t>
    </r>
  </si>
  <si>
    <r>
      <t>Carry Earned/</t>
    </r>
    <r>
      <rPr>
        <sz val="10"/>
        <rFont val="Arial"/>
        <family val="2"/>
      </rPr>
      <t>(Realized Profits, Inclusive of Amt. Held in Escrow)</t>
    </r>
  </si>
  <si>
    <r>
      <t xml:space="preserve">Is the Fund in a Clawback Situation </t>
    </r>
    <r>
      <rPr>
        <sz val="10"/>
        <rFont val="Arial"/>
        <family val="2"/>
      </rPr>
      <t>(Yes/No)</t>
    </r>
  </si>
  <si>
    <r>
      <t>Management Fee Calculation</t>
    </r>
    <r>
      <rPr>
        <sz val="10"/>
        <rFont val="Arial"/>
        <family val="2"/>
      </rPr>
      <t xml:space="preserve"> (per Section X.X of LPA)</t>
    </r>
  </si>
  <si>
    <r>
      <t>Waterfall/Carry Calculation</t>
    </r>
    <r>
      <rPr>
        <sz val="10"/>
        <rFont val="Arial"/>
        <family val="2"/>
      </rPr>
      <t xml:space="preserve"> (per Section X.X of LPA)</t>
    </r>
  </si>
  <si>
    <t>Final Close Date</t>
  </si>
  <si>
    <t>Investment Period End Date</t>
  </si>
  <si>
    <t>Management Fee Step-Down Date</t>
  </si>
  <si>
    <t>Fund Term Expiration Date</t>
  </si>
  <si>
    <t>Disclosures/Footnotes</t>
  </si>
  <si>
    <t>Call for fees/costs paid to the GP/Manager/Related Person, or to outside parties, for fundraising services or as otherwise defined in the private fund’s organizational and offering documents, net of any offsets; Includes calls for fees both inside and outside commitment. Calls for fees inside of commitment reduce unfunded commitment, whereas calls for fees outside of commitment do not reduce unfunded commitment. Includes any deemed contributions that are partially or completely netted with distributions. (May occur "outside" of the Fund's core operations in the event the Fund acts as an intermediary between an LP and a placement agent. Often LPA-specific).</t>
  </si>
  <si>
    <t>Miscellaneous capital calls not otherwise defined above. A description of these calls should be provided in the Transaction Description field of the Template.</t>
  </si>
  <si>
    <t>Miscellaneous distributions not otherwise defined above. A description of these distributions should be provided in the Transaction Description field of the Template.</t>
  </si>
  <si>
    <t>The Capital Call &amp; Distribution Template was developed to standardize the accounting details captured within a capital call and distribution notice. It has been redeveloped to align with the updated ILPA Reporting Template and new ILPA Performance Template and features a more user-friendly design that can be used to capture details to support reporting with the Performance Template.</t>
  </si>
  <si>
    <t>Guidance and Supplemental Resources</t>
  </si>
  <si>
    <t>Refer to the links below to access the complete Suggested Guidance document, as well as all supplemental resources available on the ILPA website:</t>
  </si>
  <si>
    <t>Suggested Guidance PDF</t>
  </si>
  <si>
    <t>Supplemental Resources</t>
  </si>
  <si>
    <t>The full Capital Call &amp; Distributions Template Suggested Guidance and Supplemental Resources linked above provide the detailed context and clarifications to allow LPs, GPs and Service Providers to utilize the Template most effectively. ILPA encourages interested parties to see the ILPA website (below) for the latest documentation. Additionally, please reach out to the Templates Support inbox below with any questions or suggestions for additional clarity.</t>
  </si>
  <si>
    <t xml:space="preserve">www.ilpa.org </t>
  </si>
  <si>
    <t>templatesupport@ilpa.org</t>
  </si>
  <si>
    <t>© 2025 Institutional Limited Partners Association.  All rights reserved.</t>
  </si>
  <si>
    <t>Negative Contribution: Return of Excess Capital Called</t>
  </si>
  <si>
    <t>Negative Contribution: Return of Excess Capital Called - Investments</t>
  </si>
  <si>
    <t>Negative Contribution: Return of Excess Capital Called - Management Fees/Partnership Expenses</t>
  </si>
  <si>
    <t>Outflow from LP</t>
  </si>
  <si>
    <t>Inflow to LP</t>
  </si>
  <si>
    <t>Management Fee Calculation - Key Dates (Optional)</t>
  </si>
  <si>
    <t>Distribution: Refund of Tax Withheld</t>
  </si>
  <si>
    <t>Below is a summary of all changes to the Template since its original release in September 2025:</t>
  </si>
  <si>
    <t>Taxes Withheld from Distributions (offset to "Distribution: Realized Gain - Cash", "Distribution: Realized Gain - Stock", "Distribution: Income" and "Distribution: Dividends"). (May occur "outside" of the Fund if this transaction occurs between the LP and the taxing authority).</t>
  </si>
  <si>
    <t>Call for interest due from LPs that committed to a subsequent closing of the Fund (typically occurs "outside" of the Fund's core operations as this transaction often occurs between LPs, with the Fund only serving as an intermediary).</t>
  </si>
  <si>
    <t>Interest received from LPs that committed to subsequent closing of the Fund (typically occurs "outside" of the Fund's core operations as this transaction often occurs between LPs, with the Fund only serving as an intermediary).</t>
  </si>
  <si>
    <t xml:space="preserve">Call from investors for transactions occurring external to the Fund, for example, where the Fund acts as a conduit for transactions between LPs, or LPs and other external parties. </t>
  </si>
  <si>
    <t>Cumulative Balance - Reconciliation to a Prior Period Notice</t>
  </si>
  <si>
    <t>No revisions as of September 10, 2025.</t>
  </si>
  <si>
    <t>ILPA Capital Call &amp; Distribution Template (v. 2.0) – This packet was last updated on September 10,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</si>
</sst>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d\-mmm\-yyyy;@"/>
    <numFmt numFmtId="165" formatCode="0."/>
  </numFmts>
  <fonts count="40" x14ac:knownFonts="1">
    <font>
      <sz val="11"/>
      <color theme="1"/>
      <name val="Aptos Narrow"/>
      <family val="2"/>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0"/>
      <color theme="1"/>
      <name val="Arial"/>
      <family val="2"/>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font>
    <font>
      <sz val="11"/>
      <color theme="1"/>
      <name val="Arial"/>
      <family val="2"/>
    </font>
    <font>
      <sz val="10"/>
      <name val="Arial"/>
      <family val="2"/>
    </font>
    <font>
      <b/>
      <sz val="10"/>
      <name val="Arial"/>
      <family val="2"/>
    </font>
    <font>
      <b/>
      <sz val="16"/>
      <color rgb="FF00325D"/>
      <name val="Arial"/>
      <family val="2"/>
    </font>
    <font>
      <i/>
      <sz val="10"/>
      <name val="Arial"/>
      <family val="2"/>
    </font>
    <font>
      <b/>
      <sz val="10"/>
      <color theme="1"/>
      <name val="Arial"/>
      <family val="2"/>
    </font>
    <font>
      <b/>
      <sz val="10"/>
      <color theme="0"/>
      <name val="Arial"/>
      <family val="2"/>
    </font>
    <font>
      <sz val="10"/>
      <color rgb="FFFF0000"/>
      <name val="Arial"/>
      <family val="2"/>
    </font>
    <font>
      <b/>
      <sz val="10"/>
      <color rgb="FF00325D"/>
      <name val="Arial"/>
      <family val="2"/>
    </font>
    <font>
      <u/>
      <sz val="11"/>
      <color theme="10"/>
      <name val="Aptos Narrow"/>
      <family val="2"/>
      <scheme val="minor"/>
    </font>
    <font>
      <b/>
      <i/>
      <sz val="10"/>
      <name val="Arial"/>
      <family val="2"/>
    </font>
    <font>
      <i/>
      <sz val="10"/>
      <color rgb="FFFF0000"/>
      <name val="Arial"/>
      <family val="2"/>
    </font>
    <font>
      <b/>
      <i/>
      <sz val="10"/>
      <color theme="1"/>
      <name val="Arial"/>
      <family val="2"/>
    </font>
    <font>
      <i/>
      <sz val="10"/>
      <color theme="1"/>
      <name val="Arial"/>
      <family val="2"/>
    </font>
    <font>
      <b/>
      <sz val="10"/>
      <color theme="3"/>
      <name val="Arial"/>
      <family val="2"/>
    </font>
    <font>
      <sz val="10"/>
      <color theme="0"/>
      <name val="Arial"/>
      <family val="2"/>
    </font>
    <font>
      <i/>
      <sz val="10"/>
      <color rgb="FF00325D"/>
      <name val="Arial"/>
      <family val="2"/>
    </font>
    <font>
      <i/>
      <sz val="10"/>
      <color theme="3"/>
      <name val="Arial"/>
      <family val="2"/>
    </font>
    <font>
      <b/>
      <u/>
      <sz val="10"/>
      <color rgb="FF00325D"/>
      <name val="Arial"/>
      <family val="2"/>
    </font>
    <font>
      <b/>
      <u/>
      <sz val="12"/>
      <color rgb="FF00325D"/>
      <name val="Arial"/>
      <family val="2"/>
    </font>
    <font>
      <sz val="11"/>
      <name val="Arial"/>
      <family val="2"/>
    </font>
    <font>
      <b/>
      <sz val="12"/>
      <name val="Arial"/>
      <family val="2"/>
    </font>
    <font>
      <b/>
      <sz val="10"/>
      <color rgb="FF000000"/>
      <name val="Arial"/>
      <family val="2"/>
    </font>
    <font>
      <sz val="10"/>
      <color rgb="FF000000"/>
      <name val="Arial"/>
      <family val="2"/>
    </font>
    <font>
      <b/>
      <sz val="10"/>
      <color rgb="FFFFFFFF"/>
      <name val="Arial"/>
      <family val="2"/>
    </font>
    <font>
      <u/>
      <sz val="10"/>
      <color theme="10"/>
      <name val="Arial"/>
      <family val="2"/>
    </font>
    <font>
      <b/>
      <sz val="12"/>
      <color theme="3"/>
      <name val="Arial"/>
      <family val="2"/>
    </font>
    <font>
      <b/>
      <sz val="12"/>
      <color rgb="FF00325D"/>
      <name val="Arial"/>
      <family val="2"/>
    </font>
    <font>
      <sz val="10"/>
      <color theme="3"/>
      <name val="Arial"/>
      <family val="2"/>
    </font>
    <font>
      <u/>
      <sz val="11"/>
      <color theme="10"/>
      <name val="Aptos Narrow"/>
      <family val="2"/>
    </font>
  </fonts>
  <fills count="8">
    <fill>
      <patternFill patternType="none"/>
    </fill>
    <fill>
      <patternFill patternType="gray125"/>
    </fill>
    <fill>
      <patternFill patternType="solid">
        <fgColor theme="0"/>
        <bgColor indexed="64"/>
      </patternFill>
    </fill>
    <fill>
      <patternFill patternType="solid">
        <fgColor rgb="FF00325D"/>
        <bgColor indexed="64"/>
      </patternFill>
    </fill>
    <fill>
      <patternFill patternType="solid">
        <fgColor indexed="65"/>
        <bgColor indexed="64"/>
      </patternFill>
    </fill>
    <fill>
      <patternFill patternType="solid">
        <fgColor theme="2" tint="-0.499984740745262"/>
        <bgColor indexed="64"/>
      </patternFill>
    </fill>
    <fill>
      <patternFill patternType="solid">
        <fgColor theme="2"/>
        <bgColor indexed="64"/>
      </patternFill>
    </fill>
    <fill>
      <patternFill patternType="solid">
        <fgColor theme="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s>
  <cellStyleXfs count="17">
    <xf numFmtId="0" fontId="0" fillId="0" borderId="0"/>
    <xf numFmtId="9" fontId="9" fillId="0" borderId="0" applyFont="0" applyFill="0" applyBorder="0" applyAlignment="0" applyProtection="0"/>
    <xf numFmtId="0" fontId="10" fillId="0" borderId="0"/>
    <xf numFmtId="43" fontId="10" fillId="0" borderId="0" applyFont="0" applyFill="0" applyBorder="0" applyAlignment="0" applyProtection="0"/>
    <xf numFmtId="9" fontId="10" fillId="0" borderId="0" applyFont="0" applyFill="0" applyBorder="0" applyAlignment="0" applyProtection="0"/>
    <xf numFmtId="0" fontId="8" fillId="0" borderId="0"/>
    <xf numFmtId="0" fontId="19" fillId="0" borderId="0" applyNumberFormat="0" applyFill="0" applyBorder="0" applyAlignment="0" applyProtection="0"/>
    <xf numFmtId="0" fontId="7" fillId="0" borderId="0"/>
    <xf numFmtId="0" fontId="6" fillId="0" borderId="0"/>
    <xf numFmtId="0" fontId="4" fillId="0" borderId="0"/>
    <xf numFmtId="0" fontId="3"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0" fontId="1" fillId="0" borderId="0"/>
    <xf numFmtId="0" fontId="39" fillId="0" borderId="0" applyNumberFormat="0" applyFill="0" applyBorder="0" applyAlignment="0" applyProtection="0"/>
  </cellStyleXfs>
  <cellXfs count="146">
    <xf numFmtId="0" fontId="0" fillId="0" borderId="0" xfId="0"/>
    <xf numFmtId="14" fontId="13" fillId="2" borderId="0" xfId="2" applyNumberFormat="1" applyFont="1" applyFill="1" applyAlignment="1">
      <alignment horizontal="left"/>
    </xf>
    <xf numFmtId="0" fontId="15" fillId="2" borderId="0" xfId="2" applyFont="1" applyFill="1"/>
    <xf numFmtId="14" fontId="18" fillId="2" borderId="0" xfId="2" applyNumberFormat="1" applyFont="1" applyFill="1" applyAlignment="1">
      <alignment horizontal="right" indent="1"/>
    </xf>
    <xf numFmtId="0" fontId="24" fillId="2" borderId="0" xfId="2" applyFont="1" applyFill="1" applyAlignment="1">
      <alignment horizontal="right"/>
    </xf>
    <xf numFmtId="14" fontId="26" fillId="2" borderId="0" xfId="2" applyNumberFormat="1" applyFont="1" applyFill="1" applyAlignment="1">
      <alignment horizontal="center"/>
    </xf>
    <xf numFmtId="3" fontId="27" fillId="2" borderId="0" xfId="2" applyNumberFormat="1" applyFont="1" applyFill="1" applyAlignment="1">
      <alignment horizontal="center"/>
    </xf>
    <xf numFmtId="164" fontId="12" fillId="2" borderId="5" xfId="2" applyNumberFormat="1" applyFont="1" applyFill="1" applyBorder="1" applyAlignment="1">
      <alignment horizontal="right" indent="1"/>
    </xf>
    <xf numFmtId="164" fontId="12" fillId="2" borderId="3" xfId="2" applyNumberFormat="1" applyFont="1" applyFill="1" applyBorder="1" applyAlignment="1">
      <alignment horizontal="right" indent="1"/>
    </xf>
    <xf numFmtId="14" fontId="18" fillId="2" borderId="0" xfId="2" applyNumberFormat="1" applyFont="1" applyFill="1" applyAlignment="1">
      <alignment horizontal="center"/>
    </xf>
    <xf numFmtId="0" fontId="5" fillId="2" borderId="0" xfId="2" applyFont="1" applyFill="1" applyAlignment="1">
      <alignment wrapText="1"/>
    </xf>
    <xf numFmtId="0" fontId="5" fillId="2" borderId="0" xfId="2" applyFont="1" applyFill="1"/>
    <xf numFmtId="0" fontId="11" fillId="2" borderId="1" xfId="2" applyFont="1" applyFill="1" applyBorder="1"/>
    <xf numFmtId="39" fontId="18" fillId="2" borderId="0" xfId="2" applyNumberFormat="1" applyFont="1" applyFill="1" applyAlignment="1">
      <alignment horizontal="right"/>
    </xf>
    <xf numFmtId="0" fontId="11" fillId="2" borderId="0" xfId="0" applyFont="1" applyFill="1" applyAlignment="1">
      <alignment vertical="top" wrapText="1"/>
    </xf>
    <xf numFmtId="14" fontId="28" fillId="2" borderId="0" xfId="2" applyNumberFormat="1" applyFont="1" applyFill="1" applyAlignment="1">
      <alignment horizontal="center"/>
    </xf>
    <xf numFmtId="14" fontId="29" fillId="2" borderId="0" xfId="2" applyNumberFormat="1" applyFont="1" applyFill="1" applyAlignment="1">
      <alignment horizontal="left"/>
    </xf>
    <xf numFmtId="0" fontId="11" fillId="0" borderId="1" xfId="8" applyFont="1" applyBorder="1" applyAlignment="1">
      <alignment horizontal="left" vertical="center"/>
    </xf>
    <xf numFmtId="0" fontId="11" fillId="0" borderId="1" xfId="0" applyFont="1" applyBorder="1" applyAlignment="1">
      <alignment vertical="center" wrapText="1"/>
    </xf>
    <xf numFmtId="0" fontId="12" fillId="0" borderId="1" xfId="8" applyFont="1" applyBorder="1" applyAlignment="1">
      <alignment horizontal="center" vertical="center"/>
    </xf>
    <xf numFmtId="0" fontId="12" fillId="0" borderId="1" xfId="8" applyFont="1" applyBorder="1" applyAlignment="1">
      <alignment horizontal="center" vertical="center" wrapText="1"/>
    </xf>
    <xf numFmtId="0" fontId="11" fillId="0" borderId="1" xfId="8" applyFont="1" applyBorder="1" applyAlignment="1">
      <alignment vertical="center"/>
    </xf>
    <xf numFmtId="0" fontId="11" fillId="0" borderId="1" xfId="0" applyFont="1" applyBorder="1" applyAlignment="1">
      <alignment horizontal="left" wrapText="1"/>
    </xf>
    <xf numFmtId="0" fontId="11" fillId="0" borderId="1" xfId="8" applyFont="1" applyBorder="1" applyAlignment="1">
      <alignment horizontal="left" vertical="center" wrapText="1"/>
    </xf>
    <xf numFmtId="0" fontId="11" fillId="0" borderId="1" xfId="8" applyFont="1" applyBorder="1" applyAlignment="1">
      <alignment vertical="center" wrapText="1"/>
    </xf>
    <xf numFmtId="0" fontId="30" fillId="0" borderId="0" xfId="8" applyFont="1" applyAlignment="1">
      <alignment vertical="center"/>
    </xf>
    <xf numFmtId="0" fontId="30" fillId="0" borderId="0" xfId="8" applyFont="1" applyAlignment="1">
      <alignment vertical="center" wrapText="1"/>
    </xf>
    <xf numFmtId="0" fontId="5" fillId="0" borderId="0" xfId="9" applyFont="1" applyAlignment="1">
      <alignment vertical="top"/>
    </xf>
    <xf numFmtId="0" fontId="32" fillId="0" borderId="0" xfId="9" applyFont="1" applyAlignment="1">
      <alignment vertical="top" wrapText="1"/>
    </xf>
    <xf numFmtId="0" fontId="5" fillId="0" borderId="0" xfId="9" applyFont="1" applyAlignment="1">
      <alignment vertical="top" wrapText="1"/>
    </xf>
    <xf numFmtId="0" fontId="17" fillId="0" borderId="0" xfId="9" applyFont="1" applyAlignment="1">
      <alignment vertical="top"/>
    </xf>
    <xf numFmtId="0" fontId="33" fillId="0" borderId="0" xfId="9" applyFont="1" applyAlignment="1">
      <alignment horizontal="left" vertical="top" wrapText="1"/>
    </xf>
    <xf numFmtId="0" fontId="17" fillId="0" borderId="0" xfId="9" applyFont="1" applyAlignment="1">
      <alignment vertical="top" wrapText="1"/>
    </xf>
    <xf numFmtId="0" fontId="33" fillId="0" borderId="0" xfId="9" applyFont="1" applyAlignment="1">
      <alignment vertical="top" wrapText="1"/>
    </xf>
    <xf numFmtId="0" fontId="5" fillId="0" borderId="0" xfId="0" applyFont="1" applyAlignment="1">
      <alignment vertical="top"/>
    </xf>
    <xf numFmtId="0" fontId="33" fillId="0" borderId="0" xfId="9" applyFont="1" applyAlignment="1">
      <alignment horizontal="left" vertical="top" wrapText="1" indent="2"/>
    </xf>
    <xf numFmtId="0" fontId="33" fillId="0" borderId="0" xfId="9" applyFont="1" applyAlignment="1">
      <alignment vertical="top" wrapText="1" indent="2"/>
    </xf>
    <xf numFmtId="0" fontId="11" fillId="0" borderId="0" xfId="9" applyFont="1" applyAlignment="1">
      <alignment horizontal="left" vertical="top" wrapText="1"/>
    </xf>
    <xf numFmtId="0" fontId="5" fillId="0" borderId="0" xfId="9" applyFont="1" applyAlignment="1">
      <alignment horizontal="left" vertical="top" wrapText="1"/>
    </xf>
    <xf numFmtId="0" fontId="5" fillId="0" borderId="0" xfId="9" applyFont="1" applyAlignment="1">
      <alignment horizontal="left" vertical="top"/>
    </xf>
    <xf numFmtId="0" fontId="17" fillId="0" borderId="0" xfId="9" applyFont="1" applyAlignment="1">
      <alignment horizontal="left" vertical="top"/>
    </xf>
    <xf numFmtId="0" fontId="21" fillId="0" borderId="0" xfId="9" applyFont="1" applyAlignment="1">
      <alignment horizontal="left" vertical="center"/>
    </xf>
    <xf numFmtId="0" fontId="34" fillId="0" borderId="0" xfId="9" applyFont="1" applyAlignment="1">
      <alignment vertical="center"/>
    </xf>
    <xf numFmtId="14" fontId="5" fillId="0" borderId="0" xfId="9" applyNumberFormat="1" applyFont="1" applyAlignment="1">
      <alignment vertical="top"/>
    </xf>
    <xf numFmtId="40" fontId="5" fillId="2" borderId="3" xfId="2" applyNumberFormat="1" applyFont="1" applyFill="1" applyBorder="1" applyAlignment="1">
      <alignment horizontal="left"/>
    </xf>
    <xf numFmtId="40" fontId="5" fillId="2" borderId="2" xfId="2" applyNumberFormat="1" applyFont="1" applyFill="1" applyBorder="1" applyAlignment="1">
      <alignment horizontal="left"/>
    </xf>
    <xf numFmtId="40" fontId="5" fillId="6" borderId="2" xfId="2" applyNumberFormat="1" applyFont="1" applyFill="1" applyBorder="1" applyAlignment="1">
      <alignment horizontal="left"/>
    </xf>
    <xf numFmtId="40" fontId="5" fillId="2" borderId="0" xfId="2" applyNumberFormat="1" applyFont="1" applyFill="1" applyAlignment="1">
      <alignment horizontal="left"/>
    </xf>
    <xf numFmtId="3" fontId="5" fillId="2" borderId="0" xfId="2" applyNumberFormat="1" applyFont="1" applyFill="1" applyAlignment="1">
      <alignment horizontal="left"/>
    </xf>
    <xf numFmtId="40" fontId="5" fillId="6" borderId="3" xfId="2" applyNumberFormat="1" applyFont="1" applyFill="1" applyBorder="1" applyAlignment="1">
      <alignment horizontal="left"/>
    </xf>
    <xf numFmtId="40" fontId="5" fillId="2" borderId="0" xfId="2" applyNumberFormat="1" applyFont="1" applyFill="1"/>
    <xf numFmtId="39" fontId="5" fillId="0" borderId="1" xfId="2" applyNumberFormat="1" applyFont="1" applyBorder="1" applyAlignment="1">
      <alignment horizontal="right" vertical="center" wrapText="1"/>
    </xf>
    <xf numFmtId="39" fontId="5" fillId="4" borderId="4" xfId="2" applyNumberFormat="1" applyFont="1" applyFill="1" applyBorder="1" applyAlignment="1">
      <alignment vertical="center"/>
    </xf>
    <xf numFmtId="39" fontId="5" fillId="6" borderId="1" xfId="2" applyNumberFormat="1" applyFont="1" applyFill="1" applyBorder="1" applyAlignment="1">
      <alignment horizontal="right" vertical="center" wrapText="1"/>
    </xf>
    <xf numFmtId="0" fontId="5" fillId="2" borderId="0" xfId="2" applyFont="1" applyFill="1" applyAlignment="1">
      <alignment vertical="top"/>
    </xf>
    <xf numFmtId="0" fontId="10" fillId="0" borderId="0" xfId="0" applyFont="1"/>
    <xf numFmtId="0" fontId="21" fillId="2" borderId="0" xfId="2" applyFont="1" applyFill="1"/>
    <xf numFmtId="0" fontId="5" fillId="2" borderId="5" xfId="2" applyFont="1" applyFill="1" applyBorder="1" applyAlignment="1">
      <alignment horizontal="left"/>
    </xf>
    <xf numFmtId="40" fontId="5" fillId="2" borderId="5" xfId="2" applyNumberFormat="1" applyFont="1" applyFill="1" applyBorder="1" applyAlignment="1">
      <alignment horizontal="left"/>
    </xf>
    <xf numFmtId="0" fontId="16" fillId="3" borderId="1" xfId="2" applyFont="1" applyFill="1" applyBorder="1" applyAlignment="1">
      <alignment horizontal="center" vertical="center" wrapText="1"/>
    </xf>
    <xf numFmtId="0" fontId="16" fillId="5" borderId="1" xfId="2" applyFont="1" applyFill="1" applyBorder="1" applyAlignment="1">
      <alignment horizontal="center" vertical="center" wrapText="1"/>
    </xf>
    <xf numFmtId="0" fontId="36" fillId="2" borderId="0" xfId="2" applyFont="1" applyFill="1" applyAlignment="1">
      <alignment horizontal="right"/>
    </xf>
    <xf numFmtId="39" fontId="5" fillId="0" borderId="0" xfId="2" applyNumberFormat="1" applyFont="1" applyAlignment="1">
      <alignment horizontal="left"/>
    </xf>
    <xf numFmtId="0" fontId="5" fillId="0" borderId="0" xfId="2" applyFont="1" applyAlignment="1">
      <alignment horizontal="left"/>
    </xf>
    <xf numFmtId="40" fontId="5" fillId="2" borderId="12" xfId="2" applyNumberFormat="1" applyFont="1" applyFill="1" applyBorder="1" applyAlignment="1">
      <alignment horizontal="left"/>
    </xf>
    <xf numFmtId="40" fontId="38" fillId="7" borderId="3" xfId="2" applyNumberFormat="1" applyFont="1" applyFill="1" applyBorder="1"/>
    <xf numFmtId="0" fontId="5" fillId="2" borderId="0" xfId="2" applyFont="1" applyFill="1" applyAlignment="1">
      <alignment horizontal="center" vertical="top" wrapText="1"/>
    </xf>
    <xf numFmtId="0" fontId="35" fillId="0" borderId="0" xfId="6" applyFont="1" applyFill="1" applyAlignment="1">
      <alignment horizontal="left" vertical="center" wrapText="1"/>
    </xf>
    <xf numFmtId="0" fontId="33" fillId="0" borderId="0" xfId="5" applyFont="1" applyAlignment="1">
      <alignment horizontal="left" vertical="center" wrapText="1"/>
    </xf>
    <xf numFmtId="0" fontId="21" fillId="0" borderId="0" xfId="8" applyFont="1" applyAlignment="1">
      <alignment vertical="center"/>
    </xf>
    <xf numFmtId="0" fontId="14" fillId="0" borderId="0" xfId="8" applyFont="1" applyAlignment="1">
      <alignment vertical="center"/>
    </xf>
    <xf numFmtId="40" fontId="5" fillId="6" borderId="6" xfId="2" applyNumberFormat="1" applyFont="1" applyFill="1" applyBorder="1" applyAlignment="1">
      <alignment horizontal="left"/>
    </xf>
    <xf numFmtId="40" fontId="5" fillId="6" borderId="5" xfId="2" applyNumberFormat="1" applyFont="1" applyFill="1" applyBorder="1" applyAlignment="1">
      <alignment horizontal="left"/>
    </xf>
    <xf numFmtId="0" fontId="5" fillId="2" borderId="0" xfId="2" applyFont="1" applyFill="1" applyAlignment="1">
      <alignment horizontal="right" indent="1"/>
    </xf>
    <xf numFmtId="164" fontId="12" fillId="2" borderId="0" xfId="2" applyNumberFormat="1" applyFont="1" applyFill="1" applyAlignment="1">
      <alignment horizontal="right"/>
    </xf>
    <xf numFmtId="0" fontId="15" fillId="2" borderId="0" xfId="2" applyFont="1" applyFill="1" applyAlignment="1">
      <alignment horizontal="center"/>
    </xf>
    <xf numFmtId="40" fontId="5" fillId="2" borderId="6" xfId="2" applyNumberFormat="1" applyFont="1" applyFill="1" applyBorder="1" applyAlignment="1">
      <alignment horizontal="left"/>
    </xf>
    <xf numFmtId="10" fontId="11" fillId="6" borderId="6" xfId="1" applyNumberFormat="1" applyFont="1" applyFill="1" applyBorder="1" applyAlignment="1">
      <alignment horizontal="left"/>
    </xf>
    <xf numFmtId="10" fontId="5" fillId="6" borderId="2" xfId="2" applyNumberFormat="1" applyFont="1" applyFill="1" applyBorder="1" applyAlignment="1">
      <alignment horizontal="left"/>
    </xf>
    <xf numFmtId="164" fontId="11" fillId="2" borderId="0" xfId="2" applyNumberFormat="1" applyFont="1" applyFill="1"/>
    <xf numFmtId="0" fontId="11" fillId="2" borderId="5" xfId="0" applyFont="1" applyFill="1" applyBorder="1" applyAlignment="1">
      <alignment vertical="top" wrapText="1"/>
    </xf>
    <xf numFmtId="164" fontId="11" fillId="2" borderId="3" xfId="2" applyNumberFormat="1" applyFont="1" applyFill="1" applyBorder="1" applyAlignment="1">
      <alignment horizontal="left" indent="1"/>
    </xf>
    <xf numFmtId="0" fontId="24" fillId="2" borderId="8" xfId="2" applyFont="1" applyFill="1" applyBorder="1" applyAlignment="1">
      <alignment horizontal="right"/>
    </xf>
    <xf numFmtId="164" fontId="11" fillId="2" borderId="12" xfId="2" applyNumberFormat="1" applyFont="1" applyFill="1" applyBorder="1" applyAlignment="1">
      <alignment horizontal="left" indent="1"/>
    </xf>
    <xf numFmtId="0" fontId="15" fillId="0" borderId="0" xfId="14" applyFont="1" applyAlignment="1">
      <alignment horizontal="right" vertical="top"/>
    </xf>
    <xf numFmtId="0" fontId="5" fillId="0" borderId="0" xfId="14" applyFont="1" applyAlignment="1">
      <alignment vertical="top"/>
    </xf>
    <xf numFmtId="0" fontId="21" fillId="0" borderId="0" xfId="15" applyFont="1" applyAlignment="1">
      <alignment horizontal="right"/>
    </xf>
    <xf numFmtId="165" fontId="21" fillId="0" borderId="0" xfId="14" quotePrefix="1" applyNumberFormat="1" applyFont="1" applyAlignment="1">
      <alignment wrapText="1"/>
    </xf>
    <xf numFmtId="0" fontId="5" fillId="0" borderId="0" xfId="14" applyFont="1"/>
    <xf numFmtId="165" fontId="12" fillId="0" borderId="0" xfId="14" quotePrefix="1" applyNumberFormat="1" applyFont="1" applyAlignment="1">
      <alignment vertical="top" wrapText="1"/>
    </xf>
    <xf numFmtId="0" fontId="5" fillId="0" borderId="0" xfId="14" applyFont="1" applyAlignment="1">
      <alignment vertical="center" wrapText="1"/>
    </xf>
    <xf numFmtId="0" fontId="5" fillId="0" borderId="0" xfId="14" applyFont="1" applyAlignment="1">
      <alignment vertical="center"/>
    </xf>
    <xf numFmtId="0" fontId="5" fillId="0" borderId="0" xfId="14" applyFont="1" applyAlignment="1">
      <alignment horizontal="left" vertical="center"/>
    </xf>
    <xf numFmtId="165" fontId="11" fillId="0" borderId="0" xfId="0" quotePrefix="1" applyNumberFormat="1" applyFont="1" applyAlignment="1">
      <alignment horizontal="left" vertical="top" wrapText="1" indent="2"/>
    </xf>
    <xf numFmtId="165" fontId="12" fillId="0" borderId="0" xfId="14" applyNumberFormat="1" applyFont="1" applyAlignment="1">
      <alignment horizontal="right" vertical="top"/>
    </xf>
    <xf numFmtId="165" fontId="12" fillId="0" borderId="0" xfId="14" quotePrefix="1" applyNumberFormat="1" applyFont="1" applyAlignment="1">
      <alignment horizontal="right" vertical="top"/>
    </xf>
    <xf numFmtId="165" fontId="12" fillId="0" borderId="0" xfId="14" applyNumberFormat="1" applyFont="1" applyAlignment="1">
      <alignment horizontal="right" vertical="center"/>
    </xf>
    <xf numFmtId="165" fontId="15" fillId="0" borderId="0" xfId="14" applyNumberFormat="1" applyFont="1" applyAlignment="1">
      <alignment horizontal="right" vertical="center"/>
    </xf>
    <xf numFmtId="0" fontId="15" fillId="0" borderId="0" xfId="14" applyFont="1" applyAlignment="1">
      <alignment horizontal="right" vertical="center"/>
    </xf>
    <xf numFmtId="0" fontId="35" fillId="0" borderId="0" xfId="6" applyFont="1" applyFill="1" applyAlignment="1">
      <alignment horizontal="left" vertical="center" wrapText="1"/>
    </xf>
    <xf numFmtId="0" fontId="33" fillId="0" borderId="0" xfId="5" applyFont="1" applyAlignment="1">
      <alignment horizontal="left" vertical="center" wrapText="1"/>
    </xf>
    <xf numFmtId="0" fontId="21" fillId="0" borderId="0" xfId="9" applyFont="1" applyAlignment="1">
      <alignment horizontal="left" wrapText="1"/>
    </xf>
    <xf numFmtId="0" fontId="32" fillId="0" borderId="0" xfId="9" applyFont="1" applyAlignment="1">
      <alignment horizontal="left" vertical="top" wrapText="1"/>
    </xf>
    <xf numFmtId="0" fontId="33" fillId="0" borderId="0" xfId="9" applyFont="1" applyAlignment="1">
      <alignment horizontal="left" vertical="top" wrapText="1"/>
    </xf>
    <xf numFmtId="0" fontId="35" fillId="0" borderId="0" xfId="16" applyFont="1" applyAlignment="1">
      <alignment horizontal="left" vertical="top" wrapText="1"/>
    </xf>
    <xf numFmtId="0" fontId="11" fillId="0" borderId="0" xfId="9" applyFont="1" applyAlignment="1">
      <alignment horizontal="left" vertical="top" wrapText="1"/>
    </xf>
    <xf numFmtId="0" fontId="33" fillId="0" borderId="0" xfId="9" applyFont="1" applyAlignment="1">
      <alignment horizontal="left" vertical="top" wrapText="1" indent="2"/>
    </xf>
    <xf numFmtId="0" fontId="21" fillId="0" borderId="0" xfId="9" applyFont="1" applyAlignment="1">
      <alignment horizontal="left" vertical="top" wrapText="1"/>
    </xf>
    <xf numFmtId="0" fontId="5" fillId="0" borderId="0" xfId="0" applyFont="1" applyAlignment="1">
      <alignment horizontal="left" vertical="center" wrapText="1"/>
    </xf>
    <xf numFmtId="0" fontId="11" fillId="0" borderId="0" xfId="9" applyFont="1" applyAlignment="1">
      <alignment horizontal="left" vertical="top" wrapText="1" indent="2"/>
    </xf>
    <xf numFmtId="0" fontId="5" fillId="0" borderId="0" xfId="9" applyFont="1" applyAlignment="1">
      <alignment horizontal="left" vertical="center" wrapText="1"/>
    </xf>
    <xf numFmtId="0" fontId="5" fillId="2" borderId="2" xfId="2" applyFont="1" applyFill="1" applyBorder="1" applyAlignment="1">
      <alignment horizontal="left"/>
    </xf>
    <xf numFmtId="0" fontId="5" fillId="2" borderId="3" xfId="2" applyFont="1" applyFill="1" applyBorder="1" applyAlignment="1">
      <alignment horizontal="left"/>
    </xf>
    <xf numFmtId="0" fontId="5" fillId="2" borderId="4" xfId="2" applyFont="1" applyFill="1" applyBorder="1" applyAlignment="1">
      <alignment horizontal="left"/>
    </xf>
    <xf numFmtId="14" fontId="28" fillId="2" borderId="8" xfId="2" applyNumberFormat="1" applyFont="1" applyFill="1" applyBorder="1" applyAlignment="1">
      <alignment horizontal="center"/>
    </xf>
    <xf numFmtId="14" fontId="18" fillId="2" borderId="7" xfId="2" applyNumberFormat="1" applyFont="1" applyFill="1" applyBorder="1" applyAlignment="1">
      <alignment horizontal="center"/>
    </xf>
    <xf numFmtId="0" fontId="5" fillId="2" borderId="12" xfId="2" applyFont="1" applyFill="1" applyBorder="1" applyAlignment="1">
      <alignment horizontal="left"/>
    </xf>
    <xf numFmtId="40" fontId="5" fillId="2" borderId="3" xfId="2" applyNumberFormat="1" applyFont="1" applyFill="1" applyBorder="1" applyAlignment="1">
      <alignment horizontal="left"/>
    </xf>
    <xf numFmtId="14" fontId="18" fillId="2" borderId="0" xfId="2" applyNumberFormat="1" applyFont="1" applyFill="1" applyAlignment="1">
      <alignment horizontal="center"/>
    </xf>
    <xf numFmtId="0" fontId="5" fillId="2" borderId="5" xfId="2" applyFont="1" applyFill="1" applyBorder="1" applyAlignment="1">
      <alignment horizontal="left"/>
    </xf>
    <xf numFmtId="40" fontId="5" fillId="2" borderId="5" xfId="2" applyNumberFormat="1" applyFont="1" applyFill="1" applyBorder="1" applyAlignment="1">
      <alignment horizontal="left"/>
    </xf>
    <xf numFmtId="39" fontId="5" fillId="6" borderId="5" xfId="2" applyNumberFormat="1" applyFont="1" applyFill="1" applyBorder="1" applyAlignment="1">
      <alignment horizontal="left"/>
    </xf>
    <xf numFmtId="0" fontId="5" fillId="6" borderId="5" xfId="2" applyFont="1" applyFill="1" applyBorder="1" applyAlignment="1">
      <alignment horizontal="left"/>
    </xf>
    <xf numFmtId="0" fontId="16" fillId="3" borderId="1" xfId="2" applyFont="1" applyFill="1" applyBorder="1" applyAlignment="1">
      <alignment horizontal="center" vertical="center"/>
    </xf>
    <xf numFmtId="0" fontId="16" fillId="3" borderId="1" xfId="2" applyFont="1" applyFill="1" applyBorder="1" applyAlignment="1">
      <alignment horizontal="center" vertical="center" wrapText="1"/>
    </xf>
    <xf numFmtId="10" fontId="5" fillId="6" borderId="3" xfId="1" applyNumberFormat="1" applyFont="1" applyFill="1" applyBorder="1" applyAlignment="1">
      <alignment horizontal="left"/>
    </xf>
    <xf numFmtId="40" fontId="5" fillId="2" borderId="12" xfId="2" applyNumberFormat="1" applyFont="1" applyFill="1" applyBorder="1" applyAlignment="1">
      <alignment horizontal="left"/>
    </xf>
    <xf numFmtId="0" fontId="24" fillId="2" borderId="0" xfId="0" applyFont="1" applyFill="1" applyAlignment="1">
      <alignment horizontal="center" vertical="top" wrapText="1"/>
    </xf>
    <xf numFmtId="0" fontId="5" fillId="2" borderId="9" xfId="2" applyFont="1" applyFill="1" applyBorder="1" applyAlignment="1">
      <alignment horizontal="center" vertical="top" wrapText="1"/>
    </xf>
    <xf numFmtId="0" fontId="5" fillId="2" borderId="10" xfId="2" applyFont="1" applyFill="1" applyBorder="1" applyAlignment="1">
      <alignment horizontal="center" vertical="top" wrapText="1"/>
    </xf>
    <xf numFmtId="0" fontId="5" fillId="2" borderId="11" xfId="2" applyFont="1" applyFill="1" applyBorder="1" applyAlignment="1">
      <alignment horizontal="center" vertical="top" wrapText="1"/>
    </xf>
    <xf numFmtId="39" fontId="37" fillId="6" borderId="9" xfId="2" applyNumberFormat="1" applyFont="1" applyFill="1" applyBorder="1" applyAlignment="1">
      <alignment horizontal="right" vertical="center"/>
    </xf>
    <xf numFmtId="39" fontId="37" fillId="6" borderId="10" xfId="2" applyNumberFormat="1" applyFont="1" applyFill="1" applyBorder="1" applyAlignment="1">
      <alignment horizontal="right" vertical="center"/>
    </xf>
    <xf numFmtId="39" fontId="37" fillId="6" borderId="11" xfId="2" applyNumberFormat="1" applyFont="1" applyFill="1" applyBorder="1" applyAlignment="1">
      <alignment horizontal="right" vertical="center"/>
    </xf>
    <xf numFmtId="0" fontId="5" fillId="2" borderId="0" xfId="2" applyFont="1" applyFill="1" applyAlignment="1">
      <alignment horizontal="center"/>
    </xf>
    <xf numFmtId="40" fontId="38" fillId="7" borderId="3" xfId="2" applyNumberFormat="1" applyFont="1" applyFill="1" applyBorder="1" applyAlignment="1">
      <alignment horizontal="center"/>
    </xf>
    <xf numFmtId="165" fontId="11" fillId="0" borderId="0" xfId="14" quotePrefix="1" applyNumberFormat="1" applyFont="1" applyAlignment="1">
      <alignment horizontal="left" vertical="top" wrapText="1"/>
    </xf>
    <xf numFmtId="165" fontId="21" fillId="0" borderId="0" xfId="14" quotePrefix="1" applyNumberFormat="1" applyFont="1" applyAlignment="1">
      <alignment horizontal="left" wrapText="1"/>
    </xf>
    <xf numFmtId="165" fontId="22" fillId="0" borderId="0" xfId="14" quotePrefix="1" applyNumberFormat="1" applyFont="1" applyAlignment="1">
      <alignment horizontal="left" wrapText="1"/>
    </xf>
    <xf numFmtId="165" fontId="20" fillId="0" borderId="0" xfId="14" quotePrefix="1" applyNumberFormat="1" applyFont="1" applyAlignment="1">
      <alignment horizontal="left" vertical="top" wrapText="1"/>
    </xf>
    <xf numFmtId="165" fontId="11" fillId="0" borderId="0" xfId="0" quotePrefix="1" applyNumberFormat="1" applyFont="1" applyAlignment="1">
      <alignment horizontal="left" vertical="top" wrapText="1" indent="2"/>
    </xf>
    <xf numFmtId="165" fontId="11" fillId="0" borderId="0" xfId="0" quotePrefix="1" applyNumberFormat="1" applyFont="1" applyAlignment="1">
      <alignment horizontal="left" vertical="top" wrapText="1"/>
    </xf>
    <xf numFmtId="165" fontId="11" fillId="0" borderId="0" xfId="14" quotePrefix="1" applyNumberFormat="1" applyFont="1" applyAlignment="1">
      <alignment horizontal="left" vertical="top" wrapText="1" indent="2"/>
    </xf>
    <xf numFmtId="0" fontId="23" fillId="0" borderId="0" xfId="14" applyFont="1" applyAlignment="1">
      <alignment horizontal="justify" vertical="center" wrapText="1"/>
    </xf>
    <xf numFmtId="0" fontId="12" fillId="0" borderId="0" xfId="14" applyFont="1" applyAlignment="1">
      <alignment horizontal="justify" vertical="top" wrapText="1"/>
    </xf>
    <xf numFmtId="0" fontId="14" fillId="0" borderId="0" xfId="14" applyFont="1" applyAlignment="1">
      <alignment horizontal="justify" vertical="center" wrapText="1"/>
    </xf>
  </cellXfs>
  <cellStyles count="17">
    <cellStyle name="Comma 2" xfId="3" xr:uid="{264EC9ED-FA27-48D0-B080-889E9945BA9B}"/>
    <cellStyle name="Comma 3" xfId="12" xr:uid="{D722A279-7419-41EE-92A2-9A45ED8E8305}"/>
    <cellStyle name="Hyperlink" xfId="16" builtinId="8"/>
    <cellStyle name="Hyperlink 2" xfId="6" xr:uid="{F686AA65-D24D-4423-8035-BD5F4A95EC27}"/>
    <cellStyle name="Normal" xfId="0" builtinId="0"/>
    <cellStyle name="Normal 2" xfId="2" xr:uid="{A5E154B2-CB8C-4E8F-B93F-83140C1910A7}"/>
    <cellStyle name="Normal 3" xfId="5" xr:uid="{43216A40-93F8-46B0-9F5F-CE23A034ABD9}"/>
    <cellStyle name="Normal 3 2" xfId="7" xr:uid="{8EA62C66-9099-4BED-B953-AF920EF93726}"/>
    <cellStyle name="Normal 3 2 2" xfId="15" xr:uid="{604B9F58-C10D-422C-AAF3-C5C50E0672CC}"/>
    <cellStyle name="Normal 3 3" xfId="14" xr:uid="{524A578C-E32B-4733-BB32-242A3E9DD222}"/>
    <cellStyle name="Normal 4" xfId="8" xr:uid="{909BCA17-E5BC-4B68-86B0-5B3D84383AB3}"/>
    <cellStyle name="Normal 5" xfId="9" xr:uid="{45C2D879-8D97-4773-9CCC-A5468644612E}"/>
    <cellStyle name="Normal 6" xfId="10" xr:uid="{50DF6C8B-6BE6-4716-89AE-6A7178BD7D90}"/>
    <cellStyle name="Normal 7" xfId="11" xr:uid="{6115F9F1-2504-476F-90FD-F289EC806B2C}"/>
    <cellStyle name="Percent" xfId="1" builtinId="5"/>
    <cellStyle name="Percent 2" xfId="4" xr:uid="{C7E6F904-A1E6-4F63-9C65-F8A02BE51D3B}"/>
    <cellStyle name="Percent 3" xfId="13" xr:uid="{7062DC4E-7B66-428A-830A-712CFB2CD324}"/>
  </cellStyles>
  <dxfs count="0"/>
  <tableStyles count="0" defaultTableStyle="TableStyleMedium2" defaultPivotStyle="PivotStyleLight16"/>
  <colors>
    <mruColors>
      <color rgb="FFFFFF99"/>
      <color rgb="FFBDFFDB"/>
      <color rgb="FFFFCCCC"/>
      <color rgb="FF8AC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rfs01\data\Corporate%20Trust\13117\Starvest%20Multi-Strategy\2000\NAVMARCH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index"/>
      <sheetName val="Cash"/>
      <sheetName val="Cash Rec"/>
      <sheetName val="Holdings"/>
      <sheetName val="Securities"/>
      <sheetName val="Accruals"/>
      <sheetName val="AC Recvble"/>
      <sheetName val="Share Movement"/>
      <sheetName val="Equalization"/>
      <sheetName val="Management and Admin Fees"/>
      <sheetName val="Custody Fee"/>
      <sheetName val="NAVREC"/>
      <sheetName val="performance"/>
      <sheetName val="ACM CREDIT"/>
      <sheetName val="report"/>
      <sheetName val="Lookup"/>
      <sheetName val="1601 Detail information"/>
      <sheetName val="NAVMARCH00"/>
      <sheetName val="DUE FROM &amp; TO"/>
      <sheetName val="Summary"/>
      <sheetName val="REINVESTMENT INCOME (PBC)"/>
      <sheetName val="Drop Down - DONT DELE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lpa.org/resources-tools/resource-library/ilpa-capital-call-distribution-template-v-2-0-suggested-guidance/" TargetMode="External"/><Relationship Id="rId7" Type="http://schemas.openxmlformats.org/officeDocument/2006/relationships/vmlDrawing" Target="../drawings/vmlDrawing1.vml"/><Relationship Id="rId2" Type="http://schemas.openxmlformats.org/officeDocument/2006/relationships/hyperlink" Target="http://www.ilpa.org/" TargetMode="External"/><Relationship Id="rId1" Type="http://schemas.openxmlformats.org/officeDocument/2006/relationships/hyperlink" Target="mailto:templatesupport@ilpa.org" TargetMode="External"/><Relationship Id="rId6" Type="http://schemas.openxmlformats.org/officeDocument/2006/relationships/printerSettings" Target="../printerSettings/printerSettings1.bin"/><Relationship Id="rId5" Type="http://schemas.openxmlformats.org/officeDocument/2006/relationships/hyperlink" Target="https://ilpa.org/industry-guidance/templates-standards-model-documents/updated-ilpa-templates-hub/ilpa-capital-call-distribution-template/" TargetMode="External"/><Relationship Id="rId4" Type="http://schemas.openxmlformats.org/officeDocument/2006/relationships/hyperlink" Target="https://ilpa.org/resources-tools/resource-library/ilpa-capital-call-distribution-template-v-2-0-suggested-guidance/" TargetMode="Externa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188F7-3B4E-4936-A3AD-F392F8E05050}">
  <sheetPr>
    <pageSetUpPr fitToPage="1"/>
  </sheetPr>
  <dimension ref="B1:W56"/>
  <sheetViews>
    <sheetView showGridLines="0" tabSelected="1" zoomScale="60" zoomScaleNormal="60" workbookViewId="0"/>
  </sheetViews>
  <sheetFormatPr defaultColWidth="9.28515625" defaultRowHeight="14.1" customHeight="1" x14ac:dyDescent="0.25"/>
  <cols>
    <col min="1" max="1" width="2.28515625" style="27" customWidth="1"/>
    <col min="2" max="3" width="18.7109375" style="27" customWidth="1"/>
    <col min="4" max="4" width="30.85546875" style="27" customWidth="1"/>
    <col min="5" max="5" width="21.5703125" style="30" bestFit="1" customWidth="1"/>
    <col min="6" max="6" width="16.28515625" style="27" customWidth="1"/>
    <col min="7" max="11" width="15.5703125" style="27" customWidth="1"/>
    <col min="12" max="15" width="18.7109375" style="27" customWidth="1"/>
    <col min="16" max="16384" width="9.28515625" style="27"/>
  </cols>
  <sheetData>
    <row r="1" spans="2:12" ht="14.1" customHeight="1" x14ac:dyDescent="0.2">
      <c r="B1" s="101"/>
      <c r="C1" s="101"/>
      <c r="D1" s="101"/>
      <c r="E1" s="101"/>
      <c r="F1" s="101"/>
      <c r="G1" s="101"/>
      <c r="H1" s="101"/>
      <c r="I1" s="101"/>
      <c r="J1" s="101"/>
      <c r="K1" s="101"/>
    </row>
    <row r="2" spans="2:12" ht="14.1" customHeight="1" x14ac:dyDescent="0.25">
      <c r="B2" s="102" t="s">
        <v>89</v>
      </c>
      <c r="C2" s="102"/>
      <c r="D2" s="102"/>
      <c r="E2" s="102"/>
      <c r="F2" s="102"/>
      <c r="G2" s="102"/>
      <c r="H2" s="102"/>
      <c r="I2" s="102"/>
      <c r="J2" s="102"/>
      <c r="K2" s="102"/>
    </row>
    <row r="3" spans="2:12" ht="14.1" customHeight="1" x14ac:dyDescent="0.25">
      <c r="B3" s="28"/>
      <c r="C3" s="29"/>
    </row>
    <row r="4" spans="2:12" s="29" customFormat="1" ht="27" customHeight="1" x14ac:dyDescent="0.25">
      <c r="B4" s="103" t="s">
        <v>127</v>
      </c>
      <c r="C4" s="103"/>
      <c r="D4" s="103"/>
      <c r="E4" s="103"/>
      <c r="F4" s="103"/>
      <c r="G4" s="103"/>
      <c r="H4" s="103"/>
      <c r="I4" s="103"/>
      <c r="J4" s="103"/>
      <c r="K4" s="103"/>
      <c r="L4" s="32"/>
    </row>
    <row r="5" spans="2:12" ht="14.1" customHeight="1" x14ac:dyDescent="0.25">
      <c r="B5" s="33"/>
      <c r="C5" s="33"/>
      <c r="L5" s="30"/>
    </row>
    <row r="6" spans="2:12" ht="14.1" customHeight="1" x14ac:dyDescent="0.25">
      <c r="B6" s="103" t="s">
        <v>92</v>
      </c>
      <c r="C6" s="103"/>
      <c r="D6" s="103"/>
      <c r="E6" s="103"/>
      <c r="F6" s="103"/>
      <c r="G6" s="103"/>
      <c r="H6" s="103"/>
      <c r="I6" s="103"/>
      <c r="J6" s="103"/>
      <c r="K6" s="103"/>
      <c r="L6" s="30"/>
    </row>
    <row r="7" spans="2:12" ht="14.1" customHeight="1" x14ac:dyDescent="0.25">
      <c r="B7" s="33"/>
      <c r="C7" s="33"/>
      <c r="L7" s="30"/>
    </row>
    <row r="8" spans="2:12" ht="14.1" customHeight="1" x14ac:dyDescent="0.25">
      <c r="B8" s="33"/>
      <c r="C8" s="33"/>
      <c r="L8" s="30"/>
    </row>
    <row r="9" spans="2:12" ht="14.1" customHeight="1" x14ac:dyDescent="0.25">
      <c r="B9" s="102" t="s">
        <v>128</v>
      </c>
      <c r="C9" s="102"/>
      <c r="D9" s="102"/>
      <c r="E9" s="102"/>
      <c r="F9" s="102"/>
      <c r="G9" s="102"/>
      <c r="H9" s="102"/>
      <c r="I9" s="102"/>
      <c r="J9" s="102"/>
      <c r="K9" s="102"/>
      <c r="L9" s="30"/>
    </row>
    <row r="10" spans="2:12" ht="14.1" customHeight="1" x14ac:dyDescent="0.25">
      <c r="B10" s="31"/>
      <c r="C10" s="31"/>
      <c r="L10" s="30"/>
    </row>
    <row r="11" spans="2:12" ht="14.1" customHeight="1" x14ac:dyDescent="0.25">
      <c r="B11" s="103" t="s">
        <v>129</v>
      </c>
      <c r="C11" s="103"/>
      <c r="D11" s="103"/>
      <c r="E11" s="103"/>
      <c r="F11" s="103"/>
      <c r="G11" s="103"/>
      <c r="H11" s="103"/>
      <c r="I11" s="103"/>
      <c r="J11" s="103"/>
      <c r="K11" s="103"/>
      <c r="L11" s="30"/>
    </row>
    <row r="12" spans="2:12" ht="14.1" customHeight="1" x14ac:dyDescent="0.25">
      <c r="B12" s="31"/>
      <c r="C12" s="31"/>
      <c r="D12" s="31"/>
      <c r="E12" s="31"/>
      <c r="F12" s="31"/>
      <c r="G12" s="31"/>
      <c r="H12" s="31"/>
      <c r="I12" s="31"/>
      <c r="J12" s="31"/>
      <c r="K12" s="31"/>
      <c r="L12" s="30"/>
    </row>
    <row r="13" spans="2:12" ht="14.1" customHeight="1" x14ac:dyDescent="0.25">
      <c r="B13" s="104" t="s">
        <v>130</v>
      </c>
      <c r="C13" s="104"/>
      <c r="D13" s="104"/>
      <c r="E13" s="104"/>
      <c r="F13" s="104"/>
      <c r="G13" s="104"/>
      <c r="H13" s="104"/>
      <c r="I13" s="104"/>
      <c r="J13" s="104"/>
      <c r="K13" s="104"/>
      <c r="L13" s="30"/>
    </row>
    <row r="14" spans="2:12" ht="14.1" customHeight="1" x14ac:dyDescent="0.25">
      <c r="B14" s="104" t="s">
        <v>131</v>
      </c>
      <c r="C14" s="104"/>
      <c r="D14" s="104"/>
      <c r="E14" s="104"/>
      <c r="F14" s="104"/>
      <c r="G14" s="104"/>
      <c r="H14" s="104"/>
      <c r="I14" s="104"/>
      <c r="J14" s="104"/>
      <c r="K14" s="104"/>
      <c r="L14" s="30"/>
    </row>
    <row r="15" spans="2:12" ht="14.1" customHeight="1" x14ac:dyDescent="0.25">
      <c r="B15" s="33"/>
      <c r="C15" s="29"/>
      <c r="L15" s="30"/>
    </row>
    <row r="16" spans="2:12" ht="41.1" customHeight="1" x14ac:dyDescent="0.25">
      <c r="B16" s="103" t="s">
        <v>132</v>
      </c>
      <c r="C16" s="103"/>
      <c r="D16" s="103"/>
      <c r="E16" s="103"/>
      <c r="F16" s="103"/>
      <c r="G16" s="103"/>
      <c r="H16" s="103"/>
      <c r="I16" s="103"/>
      <c r="J16" s="103"/>
      <c r="K16" s="103"/>
      <c r="L16" s="30"/>
    </row>
    <row r="17" spans="2:12" ht="14.1" customHeight="1" x14ac:dyDescent="0.25">
      <c r="B17" s="102"/>
      <c r="C17" s="102"/>
      <c r="D17" s="102"/>
      <c r="E17" s="102"/>
      <c r="F17" s="102"/>
      <c r="G17" s="102"/>
      <c r="H17" s="102"/>
      <c r="I17" s="102"/>
      <c r="J17" s="102"/>
      <c r="K17" s="102"/>
      <c r="L17" s="30"/>
    </row>
    <row r="18" spans="2:12" ht="14.1" customHeight="1" x14ac:dyDescent="0.25">
      <c r="B18" s="99" t="s">
        <v>133</v>
      </c>
      <c r="C18" s="100"/>
      <c r="D18" s="100"/>
      <c r="E18" s="100"/>
      <c r="F18" s="100"/>
      <c r="G18" s="100"/>
      <c r="H18" s="100"/>
      <c r="I18" s="100"/>
      <c r="J18" s="100"/>
      <c r="K18" s="100"/>
      <c r="L18" s="30"/>
    </row>
    <row r="19" spans="2:12" s="34" customFormat="1" ht="14.1" customHeight="1" x14ac:dyDescent="0.25">
      <c r="B19" s="99" t="s">
        <v>134</v>
      </c>
      <c r="C19" s="100"/>
      <c r="D19" s="100"/>
      <c r="E19" s="100"/>
      <c r="F19" s="100"/>
      <c r="G19" s="100"/>
      <c r="H19" s="100"/>
      <c r="I19" s="100"/>
      <c r="J19" s="100"/>
      <c r="K19" s="100"/>
    </row>
    <row r="20" spans="2:12" s="34" customFormat="1" ht="14.1" customHeight="1" x14ac:dyDescent="0.25">
      <c r="B20" s="67"/>
      <c r="C20" s="68"/>
      <c r="D20" s="68"/>
      <c r="E20" s="68"/>
      <c r="F20" s="68"/>
      <c r="G20" s="68"/>
      <c r="H20" s="68"/>
      <c r="I20" s="68"/>
      <c r="J20" s="68"/>
      <c r="K20" s="68"/>
    </row>
    <row r="21" spans="2:12" ht="14.1" customHeight="1" x14ac:dyDescent="0.25">
      <c r="B21" s="28"/>
      <c r="C21" s="29"/>
      <c r="L21" s="30"/>
    </row>
    <row r="22" spans="2:12" ht="14.1" customHeight="1" x14ac:dyDescent="0.25">
      <c r="B22" s="107" t="s">
        <v>150</v>
      </c>
      <c r="C22" s="107"/>
      <c r="D22" s="107"/>
      <c r="E22" s="107"/>
      <c r="F22" s="107"/>
      <c r="G22" s="107"/>
      <c r="H22" s="107"/>
      <c r="I22" s="107"/>
      <c r="J22" s="107"/>
      <c r="K22" s="107"/>
      <c r="L22" s="30"/>
    </row>
    <row r="23" spans="2:12" ht="14.1" customHeight="1" x14ac:dyDescent="0.25">
      <c r="B23" s="33"/>
      <c r="C23" s="33"/>
      <c r="L23" s="30"/>
    </row>
    <row r="24" spans="2:12" ht="14.1" customHeight="1" x14ac:dyDescent="0.25">
      <c r="B24" s="108" t="s">
        <v>135</v>
      </c>
      <c r="C24" s="108"/>
      <c r="D24" s="108"/>
      <c r="E24" s="108"/>
      <c r="F24" s="108"/>
      <c r="G24" s="108"/>
      <c r="H24" s="108"/>
      <c r="I24" s="108"/>
      <c r="J24" s="108"/>
      <c r="K24" s="108"/>
      <c r="L24" s="30"/>
    </row>
    <row r="25" spans="2:12" ht="14.1" customHeight="1" x14ac:dyDescent="0.25">
      <c r="B25" s="35"/>
      <c r="C25" s="35"/>
      <c r="D25" s="35"/>
      <c r="E25" s="35"/>
      <c r="F25" s="35"/>
      <c r="G25" s="35"/>
      <c r="H25" s="35"/>
      <c r="I25" s="35"/>
      <c r="J25" s="35"/>
      <c r="K25" s="35"/>
      <c r="L25" s="30"/>
    </row>
    <row r="26" spans="2:12" ht="14.1" customHeight="1" x14ac:dyDescent="0.25">
      <c r="B26" s="106"/>
      <c r="C26" s="106"/>
      <c r="D26" s="106"/>
      <c r="E26" s="106"/>
      <c r="F26" s="106"/>
      <c r="G26" s="106"/>
      <c r="H26" s="106"/>
      <c r="I26" s="106"/>
      <c r="J26" s="106"/>
      <c r="K26" s="106"/>
      <c r="L26" s="30"/>
    </row>
    <row r="27" spans="2:12" ht="14.1" customHeight="1" x14ac:dyDescent="0.25">
      <c r="B27" s="36"/>
      <c r="C27" s="36"/>
      <c r="L27" s="30"/>
    </row>
    <row r="28" spans="2:12" ht="14.1" customHeight="1" x14ac:dyDescent="0.25">
      <c r="B28" s="109"/>
      <c r="C28" s="109"/>
      <c r="D28" s="109"/>
      <c r="E28" s="109"/>
      <c r="F28" s="109"/>
      <c r="G28" s="109"/>
      <c r="H28" s="109"/>
      <c r="I28" s="109"/>
      <c r="J28" s="109"/>
      <c r="K28" s="109"/>
      <c r="L28" s="30"/>
    </row>
    <row r="29" spans="2:12" ht="14.1" customHeight="1" x14ac:dyDescent="0.25">
      <c r="B29" s="36"/>
      <c r="C29" s="36"/>
      <c r="L29" s="30"/>
    </row>
    <row r="30" spans="2:12" ht="14.1" customHeight="1" x14ac:dyDescent="0.25">
      <c r="B30" s="109"/>
      <c r="C30" s="109"/>
      <c r="D30" s="109"/>
      <c r="E30" s="109"/>
      <c r="F30" s="109"/>
      <c r="G30" s="109"/>
      <c r="H30" s="109"/>
      <c r="I30" s="109"/>
      <c r="J30" s="109"/>
      <c r="K30" s="109"/>
      <c r="L30" s="30"/>
    </row>
    <row r="31" spans="2:12" ht="14.1" customHeight="1" x14ac:dyDescent="0.25">
      <c r="B31" s="36"/>
      <c r="C31" s="36"/>
      <c r="L31" s="30"/>
    </row>
    <row r="32" spans="2:12" ht="14.1" customHeight="1" x14ac:dyDescent="0.25">
      <c r="B32" s="33"/>
      <c r="C32" s="29"/>
      <c r="L32" s="30"/>
    </row>
    <row r="33" spans="2:23" ht="14.1" customHeight="1" x14ac:dyDescent="0.25">
      <c r="B33" s="102"/>
      <c r="C33" s="102"/>
      <c r="D33" s="102"/>
      <c r="E33" s="102"/>
      <c r="F33" s="102"/>
      <c r="G33" s="102"/>
      <c r="H33" s="102"/>
      <c r="I33" s="102"/>
      <c r="J33" s="102"/>
      <c r="K33" s="102"/>
      <c r="L33" s="30"/>
    </row>
    <row r="34" spans="2:23" ht="14.1" customHeight="1" x14ac:dyDescent="0.25">
      <c r="B34" s="33"/>
      <c r="C34" s="29"/>
      <c r="L34" s="30"/>
    </row>
    <row r="35" spans="2:23" ht="14.1" customHeight="1" x14ac:dyDescent="0.25">
      <c r="B35" s="105"/>
      <c r="C35" s="105"/>
      <c r="D35" s="105"/>
      <c r="E35" s="105"/>
      <c r="F35" s="105"/>
      <c r="G35" s="105"/>
      <c r="H35" s="105"/>
      <c r="I35" s="105"/>
      <c r="J35" s="105"/>
      <c r="K35" s="105"/>
      <c r="L35" s="30"/>
    </row>
    <row r="36" spans="2:23" ht="14.1" customHeight="1" x14ac:dyDescent="0.25">
      <c r="B36" s="31"/>
      <c r="C36" s="31"/>
      <c r="D36" s="31"/>
      <c r="E36" s="31"/>
      <c r="F36" s="31"/>
      <c r="G36" s="31"/>
      <c r="H36" s="31"/>
      <c r="I36" s="31"/>
      <c r="J36" s="31"/>
      <c r="K36" s="31"/>
      <c r="L36" s="30"/>
    </row>
    <row r="37" spans="2:23" ht="14.1" customHeight="1" x14ac:dyDescent="0.25">
      <c r="B37" s="105"/>
      <c r="C37" s="105"/>
      <c r="D37" s="105"/>
      <c r="E37" s="105"/>
      <c r="F37" s="105"/>
      <c r="G37" s="105"/>
      <c r="H37" s="105"/>
      <c r="I37" s="105"/>
      <c r="J37" s="105"/>
      <c r="K37" s="105"/>
      <c r="L37" s="30"/>
    </row>
    <row r="38" spans="2:23" ht="14.1" customHeight="1" x14ac:dyDescent="0.25">
      <c r="B38" s="33"/>
      <c r="C38" s="29"/>
      <c r="L38" s="30"/>
    </row>
    <row r="39" spans="2:23" ht="14.1" customHeight="1" x14ac:dyDescent="0.25">
      <c r="B39" s="105"/>
      <c r="C39" s="105"/>
      <c r="D39" s="105"/>
      <c r="E39" s="105"/>
      <c r="F39" s="105"/>
      <c r="G39" s="105"/>
      <c r="H39" s="105"/>
      <c r="I39" s="105"/>
      <c r="J39" s="105"/>
      <c r="K39" s="105"/>
      <c r="L39" s="30"/>
    </row>
    <row r="40" spans="2:23" ht="14.1" customHeight="1" x14ac:dyDescent="0.25">
      <c r="B40" s="37"/>
      <c r="C40" s="37"/>
      <c r="D40" s="37"/>
      <c r="E40" s="37"/>
      <c r="F40" s="37"/>
      <c r="G40" s="37"/>
      <c r="H40" s="37"/>
      <c r="I40" s="37"/>
      <c r="J40" s="37"/>
      <c r="K40" s="37"/>
      <c r="L40" s="30"/>
    </row>
    <row r="41" spans="2:23" ht="14.1" customHeight="1" x14ac:dyDescent="0.25">
      <c r="B41" s="38"/>
      <c r="C41" s="38"/>
      <c r="D41" s="38"/>
      <c r="E41" s="38"/>
      <c r="F41" s="38"/>
      <c r="G41" s="38"/>
      <c r="H41" s="38"/>
      <c r="I41" s="38"/>
      <c r="J41" s="38"/>
      <c r="K41" s="38"/>
      <c r="L41" s="30"/>
    </row>
    <row r="42" spans="2:23" ht="14.1" customHeight="1" x14ac:dyDescent="0.25">
      <c r="B42" s="102"/>
      <c r="C42" s="102"/>
      <c r="D42" s="102"/>
      <c r="E42" s="102"/>
      <c r="F42" s="102"/>
      <c r="G42" s="102"/>
      <c r="H42" s="102"/>
      <c r="I42" s="102"/>
      <c r="J42" s="102"/>
      <c r="K42" s="102"/>
    </row>
    <row r="43" spans="2:23" ht="14.1" customHeight="1" x14ac:dyDescent="0.25">
      <c r="B43" s="31"/>
      <c r="C43" s="38"/>
      <c r="D43" s="39"/>
      <c r="E43" s="40"/>
      <c r="F43" s="39"/>
      <c r="G43" s="39"/>
      <c r="H43" s="39"/>
      <c r="I43" s="39"/>
      <c r="J43" s="39"/>
      <c r="K43" s="39"/>
      <c r="L43" s="30"/>
    </row>
    <row r="44" spans="2:23" ht="14.1" customHeight="1" x14ac:dyDescent="0.25">
      <c r="B44" s="105"/>
      <c r="C44" s="105"/>
      <c r="D44" s="105"/>
      <c r="E44" s="105"/>
      <c r="F44" s="105"/>
      <c r="G44" s="105"/>
      <c r="H44" s="105"/>
      <c r="I44" s="105"/>
      <c r="J44" s="105"/>
      <c r="K44" s="105"/>
      <c r="L44" s="30"/>
      <c r="N44" s="103"/>
      <c r="O44" s="103"/>
      <c r="P44" s="103"/>
      <c r="Q44" s="103"/>
      <c r="R44" s="103"/>
      <c r="S44" s="103"/>
      <c r="T44" s="103"/>
      <c r="U44" s="103"/>
      <c r="V44" s="103"/>
      <c r="W44" s="103"/>
    </row>
    <row r="45" spans="2:23" ht="14.1" customHeight="1" x14ac:dyDescent="0.25">
      <c r="B45" s="31"/>
      <c r="C45" s="31"/>
      <c r="D45" s="31"/>
      <c r="E45" s="31"/>
      <c r="F45" s="31"/>
      <c r="G45" s="31"/>
      <c r="H45" s="31"/>
      <c r="I45" s="31"/>
      <c r="J45" s="31"/>
      <c r="K45" s="31"/>
      <c r="L45" s="30"/>
      <c r="N45" s="31"/>
      <c r="O45" s="31"/>
      <c r="P45" s="31"/>
      <c r="Q45" s="31"/>
      <c r="R45" s="31"/>
      <c r="S45" s="31"/>
      <c r="T45" s="31"/>
      <c r="U45" s="31"/>
      <c r="V45" s="31"/>
      <c r="W45" s="31"/>
    </row>
    <row r="46" spans="2:23" ht="14.1" customHeight="1" x14ac:dyDescent="0.25">
      <c r="B46" s="105"/>
      <c r="C46" s="105"/>
      <c r="D46" s="105"/>
      <c r="E46" s="105"/>
      <c r="F46" s="105"/>
      <c r="G46" s="105"/>
      <c r="H46" s="105"/>
      <c r="I46" s="105"/>
      <c r="J46" s="105"/>
      <c r="K46" s="105"/>
      <c r="L46" s="30"/>
      <c r="N46" s="31"/>
      <c r="O46" s="31"/>
      <c r="P46" s="31"/>
      <c r="Q46" s="31"/>
      <c r="R46" s="31"/>
      <c r="S46" s="31"/>
      <c r="T46" s="31"/>
      <c r="U46" s="31"/>
      <c r="V46" s="31"/>
      <c r="W46" s="31"/>
    </row>
    <row r="47" spans="2:23" ht="14.1" customHeight="1" x14ac:dyDescent="0.25">
      <c r="B47" s="31"/>
      <c r="C47" s="31"/>
      <c r="D47" s="39"/>
      <c r="E47" s="40"/>
      <c r="F47" s="39"/>
      <c r="G47" s="39"/>
      <c r="H47" s="39"/>
      <c r="I47" s="39"/>
      <c r="J47" s="39"/>
      <c r="K47" s="39"/>
      <c r="L47" s="30"/>
      <c r="N47" s="33"/>
      <c r="O47" s="29"/>
      <c r="Q47" s="30"/>
    </row>
    <row r="48" spans="2:23" ht="14.1" customHeight="1" x14ac:dyDescent="0.25">
      <c r="B48" s="29"/>
      <c r="C48" s="29"/>
      <c r="L48" s="30"/>
    </row>
    <row r="49" spans="2:14" ht="14.1" customHeight="1" x14ac:dyDescent="0.25">
      <c r="B49" s="102"/>
      <c r="C49" s="102"/>
      <c r="D49" s="102"/>
      <c r="E49" s="102"/>
      <c r="F49" s="102"/>
      <c r="G49" s="102"/>
      <c r="H49" s="102"/>
      <c r="I49" s="102"/>
      <c r="J49" s="102"/>
      <c r="K49" s="102"/>
      <c r="L49" s="30"/>
    </row>
    <row r="50" spans="2:14" ht="14.1" customHeight="1" x14ac:dyDescent="0.25">
      <c r="B50" s="28"/>
      <c r="C50" s="28"/>
      <c r="L50" s="30"/>
    </row>
    <row r="51" spans="2:14" ht="14.1" customHeight="1" x14ac:dyDescent="0.25">
      <c r="B51" s="105"/>
      <c r="C51" s="105"/>
      <c r="D51" s="105"/>
      <c r="E51" s="105"/>
      <c r="F51" s="105"/>
      <c r="G51" s="105"/>
      <c r="H51" s="105"/>
      <c r="I51" s="105"/>
      <c r="J51" s="105"/>
      <c r="K51" s="105"/>
      <c r="L51" s="30"/>
    </row>
    <row r="52" spans="2:14" ht="14.1" customHeight="1" x14ac:dyDescent="0.25">
      <c r="B52" s="31"/>
      <c r="C52" s="31"/>
      <c r="D52" s="39"/>
      <c r="E52" s="40"/>
      <c r="F52" s="39"/>
      <c r="G52" s="39"/>
      <c r="H52" s="39"/>
      <c r="I52" s="39"/>
      <c r="J52" s="39"/>
      <c r="K52" s="39"/>
      <c r="L52" s="30"/>
    </row>
    <row r="53" spans="2:14" ht="14.1" customHeight="1" x14ac:dyDescent="0.25">
      <c r="B53" s="41"/>
      <c r="C53" s="33"/>
      <c r="E53" s="27"/>
      <c r="F53" s="42"/>
      <c r="K53" s="43"/>
      <c r="L53" s="30"/>
      <c r="N53" s="43"/>
    </row>
    <row r="54" spans="2:14" ht="14.1" customHeight="1" x14ac:dyDescent="0.2">
      <c r="B54" s="101"/>
      <c r="C54" s="101"/>
      <c r="D54" s="101"/>
      <c r="E54" s="101"/>
      <c r="L54" s="30"/>
    </row>
    <row r="55" spans="2:14" ht="14.1" customHeight="1" x14ac:dyDescent="0.25">
      <c r="B55" s="110"/>
      <c r="C55" s="110"/>
      <c r="D55" s="110"/>
      <c r="E55" s="110"/>
      <c r="F55" s="110"/>
      <c r="G55" s="110"/>
      <c r="H55" s="110"/>
      <c r="I55" s="110"/>
      <c r="J55" s="110"/>
      <c r="K55" s="110"/>
      <c r="L55" s="30"/>
    </row>
    <row r="56" spans="2:14" ht="14.1" customHeight="1" x14ac:dyDescent="0.25">
      <c r="L56" s="30"/>
    </row>
  </sheetData>
  <mergeCells count="29">
    <mergeCell ref="B46:K46"/>
    <mergeCell ref="B49:K49"/>
    <mergeCell ref="B51:K51"/>
    <mergeCell ref="B55:K55"/>
    <mergeCell ref="B44:K44"/>
    <mergeCell ref="B54:E54"/>
    <mergeCell ref="N44:W44"/>
    <mergeCell ref="B33:K33"/>
    <mergeCell ref="B35:K35"/>
    <mergeCell ref="B19:K19"/>
    <mergeCell ref="B26:K26"/>
    <mergeCell ref="B37:K37"/>
    <mergeCell ref="B39:K39"/>
    <mergeCell ref="B22:K22"/>
    <mergeCell ref="B24:K24"/>
    <mergeCell ref="B28:K28"/>
    <mergeCell ref="B30:K30"/>
    <mergeCell ref="B42:K42"/>
    <mergeCell ref="B18:K18"/>
    <mergeCell ref="B1:K1"/>
    <mergeCell ref="B2:K2"/>
    <mergeCell ref="B4:K4"/>
    <mergeCell ref="B6:K6"/>
    <mergeCell ref="B17:K17"/>
    <mergeCell ref="B9:K9"/>
    <mergeCell ref="B11:K11"/>
    <mergeCell ref="B13:K13"/>
    <mergeCell ref="B14:K14"/>
    <mergeCell ref="B16:K16"/>
  </mergeCells>
  <hyperlinks>
    <hyperlink ref="B19" r:id="rId1" xr:uid="{11630F5F-A635-4046-92E2-F9F5157B5F0B}"/>
    <hyperlink ref="B18" r:id="rId2" xr:uid="{31F1F057-1E15-4664-8CBA-26FEC23E7146}"/>
    <hyperlink ref="B13:K13" r:id="rId3" display="Suggested Guidance PDF" xr:uid="{B220C5F5-D145-4D25-866C-E29AF68198FB}"/>
    <hyperlink ref="B13" r:id="rId4" display="https://ilpa.org/resources-tools/resource-library/ilpa-capital-call-distribution-template-v-2-0-suggested-guidance/" xr:uid="{4B347BC5-D800-470E-B381-5FCBD7B3E92F}"/>
    <hyperlink ref="B14:K14" r:id="rId5" display="Supplemental Resources" xr:uid="{9AF8980C-4847-4A36-9B3E-3FB315866BA4}"/>
  </hyperlinks>
  <pageMargins left="0.6" right="0.6" top="1" bottom="0.75" header="0.3" footer="0.3"/>
  <pageSetup scale="37" fitToHeight="0" orientation="landscape" r:id="rId6"/>
  <headerFooter>
    <oddHeader>&amp;L&amp;G&amp;C&amp;"Arial,Regular"ILPA Capital Call and Distribution Template (v. 2.0)
Suggested Guidance</oddHeader>
  </headerFooter>
  <legacyDrawingHF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955AB-CA42-477B-A45F-EA4E84119706}">
  <sheetPr>
    <tabColor theme="3" tint="9.9978637043366805E-2"/>
  </sheetPr>
  <dimension ref="A1:M97"/>
  <sheetViews>
    <sheetView showGridLines="0" zoomScale="60" zoomScaleNormal="60" zoomScaleSheetLayoutView="89" zoomScalePageLayoutView="80" workbookViewId="0"/>
  </sheetViews>
  <sheetFormatPr defaultColWidth="22" defaultRowHeight="15" customHeight="1" x14ac:dyDescent="0.2"/>
  <cols>
    <col min="1" max="1" width="6.85546875" style="11" customWidth="1"/>
    <col min="2" max="2" width="58.7109375" style="11" customWidth="1"/>
    <col min="3" max="4" width="17.7109375" style="11" customWidth="1"/>
    <col min="5" max="5" width="50.85546875" style="11" customWidth="1"/>
    <col min="6" max="8" width="17.7109375" style="11" customWidth="1"/>
    <col min="9" max="9" width="20.7109375" style="10" customWidth="1"/>
    <col min="10" max="10" width="22.7109375" style="10" customWidth="1"/>
    <col min="11" max="14" width="22.7109375" style="11" customWidth="1"/>
    <col min="15" max="16384" width="22" style="11"/>
  </cols>
  <sheetData>
    <row r="1" spans="2:12" ht="18.95" customHeight="1" x14ac:dyDescent="0.3">
      <c r="B1" s="1" t="s">
        <v>10</v>
      </c>
      <c r="C1" s="1"/>
      <c r="F1" s="3" t="s">
        <v>22</v>
      </c>
      <c r="G1" s="7">
        <v>45658</v>
      </c>
    </row>
    <row r="2" spans="2:12" ht="18.95" customHeight="1" x14ac:dyDescent="0.3">
      <c r="B2" s="1"/>
      <c r="C2" s="1"/>
      <c r="F2" s="3" t="s">
        <v>23</v>
      </c>
      <c r="G2" s="8">
        <v>45671</v>
      </c>
    </row>
    <row r="3" spans="2:12" ht="15" customHeight="1" x14ac:dyDescent="0.2">
      <c r="B3" s="3" t="s">
        <v>11</v>
      </c>
      <c r="C3" s="119" t="s">
        <v>16</v>
      </c>
      <c r="D3" s="119"/>
      <c r="F3" s="134"/>
      <c r="G3" s="134"/>
      <c r="H3" s="134"/>
    </row>
    <row r="4" spans="2:12" ht="15" customHeight="1" x14ac:dyDescent="0.2">
      <c r="B4" s="3" t="s">
        <v>12</v>
      </c>
      <c r="C4" s="119" t="s">
        <v>9</v>
      </c>
      <c r="D4" s="119"/>
    </row>
    <row r="5" spans="2:12" ht="15" customHeight="1" x14ac:dyDescent="0.2">
      <c r="B5" s="3" t="s">
        <v>13</v>
      </c>
      <c r="C5" s="120">
        <v>2000000000</v>
      </c>
      <c r="D5" s="120"/>
      <c r="F5" s="5" t="s">
        <v>18</v>
      </c>
      <c r="G5" s="6" t="s">
        <v>19</v>
      </c>
      <c r="H5" s="6" t="s">
        <v>70</v>
      </c>
      <c r="J5" s="3"/>
    </row>
    <row r="6" spans="2:12" ht="15" customHeight="1" x14ac:dyDescent="0.2">
      <c r="B6" s="3" t="s">
        <v>101</v>
      </c>
      <c r="C6" s="120">
        <v>40000000</v>
      </c>
      <c r="D6" s="120"/>
      <c r="E6" s="3" t="s">
        <v>24</v>
      </c>
      <c r="F6" s="44">
        <v>2500000</v>
      </c>
      <c r="G6" s="45">
        <v>0</v>
      </c>
      <c r="H6" s="46">
        <f>SUM(F6:G6)</f>
        <v>2500000</v>
      </c>
      <c r="J6" s="73"/>
      <c r="K6" s="74"/>
    </row>
    <row r="7" spans="2:12" ht="15" customHeight="1" x14ac:dyDescent="0.2">
      <c r="B7" s="3"/>
      <c r="C7" s="48"/>
      <c r="D7" s="48"/>
      <c r="E7" s="3"/>
      <c r="F7" s="3"/>
      <c r="G7" s="48"/>
      <c r="J7" s="73"/>
      <c r="K7" s="74"/>
    </row>
    <row r="8" spans="2:12" ht="15" customHeight="1" x14ac:dyDescent="0.2">
      <c r="E8" s="48"/>
      <c r="F8" s="118" t="s">
        <v>53</v>
      </c>
      <c r="G8" s="118"/>
      <c r="H8" s="118"/>
      <c r="J8" s="73"/>
    </row>
    <row r="9" spans="2:12" ht="15" customHeight="1" x14ac:dyDescent="0.2">
      <c r="F9" s="5" t="s">
        <v>18</v>
      </c>
      <c r="G9" s="6" t="s">
        <v>19</v>
      </c>
      <c r="H9" s="6" t="s">
        <v>70</v>
      </c>
      <c r="J9" s="73"/>
    </row>
    <row r="10" spans="2:12" ht="15" customHeight="1" x14ac:dyDescent="0.2">
      <c r="B10" s="3" t="s">
        <v>20</v>
      </c>
      <c r="C10" s="119" t="s">
        <v>28</v>
      </c>
      <c r="D10" s="119"/>
      <c r="E10" s="3" t="s">
        <v>26</v>
      </c>
      <c r="F10" s="49" cm="1">
        <f t="array" ref="F10">SUM(SUMIFS($K$24:$K$53,$L$24:$L$53,"Inside",$E$24:$E$53,{"Capital Call: Deemed GP Contribution from LPs","Capital Call: Total Amount - Inside Fund","Capital Call: Total Amount - Outside Fund","Capital Call: Investments","Capital Call: Management Fees","Capital Call: Partnership Expenses","Capital Call: Placement Agent Fees","Capital Call: Subsequent Close Interest","Capital Call: Working Capital","Capital Call: Fund-level Subscription Facility Fees/Interest","Capital Call: Other (Provide explanation in far-left column)","Negative Contribution: Return of Excess Capital Called","Negative Contribution: Return of Excess Capital Called - Investments","Negative Contribution: Return of Excess Capital Called - Management Fees/Partnership Expenses"}))</f>
        <v>20000</v>
      </c>
      <c r="G10" s="46" cm="1">
        <f t="array" ref="G10">SUM(SUMIFS($K$24:$K$53,$L$24:$L$53,"Inside",$E$24:$E$53,{"Distribution: Carry","Distribution: Clawback","Distribution: Income","Distribution: Dividends","Distribution: Other (Provide explanation in far-left column)","Distribution: Realized Gain / (Loss) - Cash (input negative value for loss)","Distribution: Realized Gain / (Loss) - Stock (input negative value for loss)","Distribution: Return of Capital - Cash","Distribution: Return of Capital - Stock","Distribution: From NAV-Based Facility","Distribution: Subsequent Close Interest","Distribution: Tax Withheld","Distribution: Refund of Tax Withheld"}))</f>
        <v>0</v>
      </c>
      <c r="H10" s="46">
        <f>SUM(F10:G10)</f>
        <v>20000</v>
      </c>
      <c r="I10" s="11"/>
      <c r="J10" s="73"/>
    </row>
    <row r="11" spans="2:12" ht="15" customHeight="1" x14ac:dyDescent="0.2">
      <c r="B11" s="3" t="s">
        <v>21</v>
      </c>
      <c r="C11" s="117">
        <v>20000000</v>
      </c>
      <c r="D11" s="117"/>
      <c r="E11" s="4" t="s">
        <v>27</v>
      </c>
      <c r="F11" s="77">
        <f>IFERROR(ABS(F10/F6),"---")</f>
        <v>8.0000000000000002E-3</v>
      </c>
      <c r="G11" s="77" t="str">
        <f>IFERROR(ABS(G10/G6),"---")</f>
        <v>---</v>
      </c>
      <c r="H11" s="78">
        <f>IFERROR(ABS(H10/H6),"---")</f>
        <v>8.0000000000000002E-3</v>
      </c>
      <c r="I11" s="11"/>
      <c r="J11" s="73"/>
    </row>
    <row r="12" spans="2:12" ht="15" customHeight="1" x14ac:dyDescent="0.2">
      <c r="B12" s="3" t="s">
        <v>25</v>
      </c>
      <c r="C12" s="125">
        <f>C11/C5</f>
        <v>0.01</v>
      </c>
      <c r="D12" s="125"/>
      <c r="E12" s="3" t="s">
        <v>102</v>
      </c>
      <c r="F12" s="76">
        <v>0</v>
      </c>
      <c r="G12" s="58">
        <v>0</v>
      </c>
      <c r="I12" s="11"/>
      <c r="J12" s="73"/>
      <c r="K12" s="75"/>
    </row>
    <row r="13" spans="2:12" ht="15" customHeight="1" x14ac:dyDescent="0.2">
      <c r="B13" s="3" t="s">
        <v>71</v>
      </c>
      <c r="C13" s="112"/>
      <c r="D13" s="112"/>
      <c r="E13" s="3" t="s">
        <v>103</v>
      </c>
      <c r="F13" s="71">
        <f>F10+F12</f>
        <v>20000</v>
      </c>
      <c r="G13" s="72">
        <f>G10+G12</f>
        <v>0</v>
      </c>
      <c r="I13" s="11"/>
      <c r="J13" s="73"/>
      <c r="L13" s="10"/>
    </row>
    <row r="14" spans="2:12" ht="15" customHeight="1" x14ac:dyDescent="0.2">
      <c r="I14" s="11"/>
      <c r="J14" s="73"/>
    </row>
    <row r="15" spans="2:12" ht="15" customHeight="1" x14ac:dyDescent="0.2">
      <c r="F15" s="118" t="s">
        <v>54</v>
      </c>
      <c r="G15" s="118"/>
      <c r="H15" s="118"/>
      <c r="I15" s="11"/>
      <c r="J15" s="11"/>
    </row>
    <row r="16" spans="2:12" ht="15" customHeight="1" x14ac:dyDescent="0.2">
      <c r="B16" s="3" t="s">
        <v>33</v>
      </c>
      <c r="C16" s="120">
        <v>14500000</v>
      </c>
      <c r="D16" s="120"/>
      <c r="F16" s="5" t="s">
        <v>139</v>
      </c>
      <c r="G16" s="6" t="s">
        <v>140</v>
      </c>
      <c r="H16" s="6" t="s">
        <v>70</v>
      </c>
      <c r="I16" s="11"/>
      <c r="J16" s="11"/>
    </row>
    <row r="17" spans="1:12" ht="15" customHeight="1" x14ac:dyDescent="0.2">
      <c r="B17" s="3" t="s">
        <v>34</v>
      </c>
      <c r="C17" s="121">
        <f>SUM(J24:J49)</f>
        <v>0</v>
      </c>
      <c r="D17" s="122"/>
      <c r="E17" s="3" t="s">
        <v>26</v>
      </c>
      <c r="F17" s="49" cm="1">
        <f t="array" ref="F17">SUM(SUMIFS($K$24:$K$53,$L$24:$L$53,"Outside",$E$24:$E$53,{"Capital Call: Deemed GP Contribution from LPs","Capital Call: Total Amount - Inside Fund","Capital Call: Total Amount - Outside Fund","Capital Call: Investments","Capital Call: Management Fees","Capital Call: Partnership Expenses","Capital Call: Placement Agent Fees","Capital Call: Subsequent Close Interest","Capital Call: Working Capital","Capital Call: Fund-level Subscription Facility Fees/Interest","Capital Call: Other (Provide explanation in far-left column)","Distribution: Carry","Distribution: Tax Withheld"}))</f>
        <v>0</v>
      </c>
      <c r="G17" s="46" cm="1">
        <f t="array" ref="G17">SUM(SUMIFS($K$24:$K$53,$L$24:$L$53,"Outside",$E$24:$E$53,{"Distribution: Clawback","Distribution: Income","Distribution: Dividends","Distribution: Other (Provide explanation in far-left column)","Distribution: Realized Gain / (Loss) - Cash (input negative value for loss)","Distribution: Realized Gain / (Loss) - Stock (input negative value for loss)","Distribution: Return of Capital - Cash","Distribution: Return of Capital - Stock","Distribution: From NAV-Based Facility","Distribution: Subsequent Close Interest","Negative Contribution: Return of Excess Capital Called","Negative Contribution: Return of Excess Capital Called - Investments","Negative Contribution: Return of Excess Capital Called - Management Fees/Partnership Expenses","Distribution: Refund of Tax Withheld"}))</f>
        <v>0</v>
      </c>
      <c r="H17" s="46">
        <f>SUM(F17:G17)</f>
        <v>0</v>
      </c>
      <c r="I17" s="11"/>
      <c r="J17" s="11"/>
    </row>
    <row r="18" spans="1:12" ht="15" customHeight="1" x14ac:dyDescent="0.2">
      <c r="B18" s="3" t="s">
        <v>67</v>
      </c>
      <c r="C18" s="120"/>
      <c r="D18" s="120"/>
      <c r="E18" s="4"/>
      <c r="F18" s="13"/>
      <c r="G18" s="13"/>
      <c r="I18" s="11"/>
      <c r="J18" s="11"/>
    </row>
    <row r="19" spans="1:12" ht="15" customHeight="1" thickBot="1" x14ac:dyDescent="0.25">
      <c r="B19" s="3" t="s">
        <v>66</v>
      </c>
      <c r="C19" s="112"/>
      <c r="D19" s="112"/>
      <c r="E19" s="4"/>
      <c r="F19" s="13"/>
      <c r="G19" s="13"/>
      <c r="I19" s="11"/>
      <c r="J19" s="11"/>
    </row>
    <row r="20" spans="1:12" ht="15" customHeight="1" thickBot="1" x14ac:dyDescent="0.3">
      <c r="B20" s="3" t="s">
        <v>35</v>
      </c>
      <c r="C20" s="121">
        <f>SUM(C16:D19)</f>
        <v>14500000</v>
      </c>
      <c r="D20" s="122"/>
      <c r="E20" s="61" t="s">
        <v>52</v>
      </c>
      <c r="F20" s="131">
        <f>SUMIF(K24:K49,"&gt;-999999999999999")</f>
        <v>20000</v>
      </c>
      <c r="G20" s="132"/>
      <c r="H20" s="133"/>
      <c r="I20" s="11"/>
      <c r="J20" s="11"/>
    </row>
    <row r="21" spans="1:12" ht="15" customHeight="1" x14ac:dyDescent="0.2">
      <c r="B21" s="3"/>
      <c r="C21" s="62"/>
      <c r="D21" s="63"/>
      <c r="E21" s="4"/>
      <c r="F21" s="13"/>
      <c r="G21" s="13"/>
      <c r="I21" s="11"/>
      <c r="J21" s="11"/>
    </row>
    <row r="22" spans="1:12" ht="15" customHeight="1" x14ac:dyDescent="0.3">
      <c r="D22" s="1"/>
      <c r="E22" s="1"/>
      <c r="F22" s="1"/>
      <c r="I22" s="11"/>
      <c r="J22" s="11"/>
    </row>
    <row r="23" spans="1:12" ht="38.25" x14ac:dyDescent="0.2">
      <c r="A23" s="2"/>
      <c r="B23" s="123" t="s">
        <v>14</v>
      </c>
      <c r="C23" s="123"/>
      <c r="D23" s="123"/>
      <c r="E23" s="124" t="s">
        <v>15</v>
      </c>
      <c r="F23" s="124"/>
      <c r="G23" s="124"/>
      <c r="H23" s="59" t="s">
        <v>48</v>
      </c>
      <c r="I23" s="59" t="s">
        <v>29</v>
      </c>
      <c r="J23" s="60" t="s">
        <v>30</v>
      </c>
      <c r="K23" s="60" t="s">
        <v>51</v>
      </c>
      <c r="L23" s="59" t="s">
        <v>72</v>
      </c>
    </row>
    <row r="24" spans="1:12" ht="15" customHeight="1" x14ac:dyDescent="0.2">
      <c r="B24" s="111" t="s">
        <v>88</v>
      </c>
      <c r="C24" s="112"/>
      <c r="D24" s="113"/>
      <c r="E24" s="111" t="s">
        <v>1</v>
      </c>
      <c r="F24" s="112"/>
      <c r="G24" s="113"/>
      <c r="H24" s="51">
        <v>20000</v>
      </c>
      <c r="I24" s="52" t="s">
        <v>36</v>
      </c>
      <c r="J24" s="53" t="str" cm="1">
        <f t="array" ref="J24">IFERROR(_xlfn.IFS(AND(I24="Decrease",H24&lt;0),H24,AND(I24="Decrease",H24&gt;0),-H24,AND(I24="Increase",H24&gt;0),H24,AND(I24="Increase",H24&lt;0),-H24,AND(I24="No Impact",H24=0),"0.00"),"0.00")</f>
        <v>0.00</v>
      </c>
      <c r="K24" s="53" cm="1">
        <f t="array" ref="K24">IFERROR(_xlfn.IFS(
ISNUMBER(SEARCH("Capital call:",E24)),H24,
ISNUMBER(SEARCH("Distribution: Carry",E24)),H24,
ISNUMBER(SEARCH("Distribution: Clawback",E24)),-H24,
ISNUMBER(SEARCH("Distribution: Income",E24)),-H24,
ISNUMBER(SEARCH("Distribution: Dividends",E24)),-H24,
ISNUMBER(SEARCH("Distribution: Other (Provide explanation in far-left column)",E24)),-H24,
ISNUMBER(SEARCH("Distribution: Realized Gain / (Loss) - Cash (input negative value for loss)",E24)),-H24,
ISNUMBER(SEARCH("Distribution: Realized Gain / (Loss) - Stock (input negative value for loss)",E24)),-H24,
ISNUMBER(SEARCH("Distribution: Return of Capital - Cash",E24)),-H24,
ISNUMBER(SEARCH("Distribution: Return of Capital - Stock",E24)),-H24,
ISNUMBER(SEARCH("Distribution: From NAV-Based Facility",E24)),-H24,
ISNUMBER(SEARCH("Negative Contribution: Return of Excess Capital Called",E24)),-H24,
ISNUMBER(SEARCH("Negative Contribution: Return of Excess Capital Called - Investments",E24)),-H24,
ISNUMBER(SEARCH("Negative Contribution: Return of Excess Capital Called - Management Fees/Partnership Expenses",E24)),-H24,
ISNUMBER(SEARCH("Distribution: Subsequent Close Interest",E24)),-H24,
ISNUMBER(SEARCH("Distribution: Tax Withheld",E24)),H24,
ISNUMBER(SEARCH("Distribution: Refund of Tax Withheld",E24)),-H24),0)</f>
        <v>20000</v>
      </c>
      <c r="L24" s="12" t="s">
        <v>74</v>
      </c>
    </row>
    <row r="25" spans="1:12" ht="15" customHeight="1" x14ac:dyDescent="0.2">
      <c r="B25" s="111"/>
      <c r="C25" s="112"/>
      <c r="D25" s="113"/>
      <c r="E25" s="111"/>
      <c r="F25" s="112"/>
      <c r="G25" s="113"/>
      <c r="H25" s="51"/>
      <c r="I25" s="52"/>
      <c r="J25" s="53" t="str" cm="1">
        <f t="array" ref="J25">IFERROR(_xlfn.IFS(AND(I25="Decrease",H25&lt;0),H25,AND(I25="Decrease",H25&gt;0),-H25,AND(I25="Increase",H25&gt;0),H25,AND(I25="Increase",H25&lt;0),-H25,AND(I25="No Impact",H25=0),"0.00"),"0.00")</f>
        <v>0.00</v>
      </c>
      <c r="K25" s="53" cm="1">
        <f t="array" ref="K25">IFERROR(_xlfn.IFS(
ISNUMBER(SEARCH("Capital call:",E25)),H25,
ISNUMBER(SEARCH("Distribution: Carry",E25)),H25,
ISNUMBER(SEARCH("Distribution: Clawback",E25)),-H25,
ISNUMBER(SEARCH("Distribution: Income",E25)),-H25,
ISNUMBER(SEARCH("Distribution: Dividends",E25)),-H25,
ISNUMBER(SEARCH("Distribution: Other (Provide explanation in far-left column)",E25)),-H25,
ISNUMBER(SEARCH("Distribution: Realized Gain / (Loss) - Cash (input negative value for loss)",E25)),-H25,
ISNUMBER(SEARCH("Distribution: Realized Gain / (Loss) - Stock (input negative value for loss)",E25)),-H25,
ISNUMBER(SEARCH("Distribution: Return of Capital - Cash",E25)),-H25,
ISNUMBER(SEARCH("Distribution: Return of Capital - Stock",E25)),-H25,
ISNUMBER(SEARCH("Distribution: From NAV-Based Facility",E25)),-H25,
ISNUMBER(SEARCH("Negative Contribution: Return of Excess Capital Called",E25)),-H25,
ISNUMBER(SEARCH("Negative Contribution: Return of Excess Capital Called - Investments",E25)),-H25,
ISNUMBER(SEARCH("Negative Contribution: Return of Excess Capital Called - Management Fees/Partnership Expenses",E25)),-H25,
ISNUMBER(SEARCH("Distribution: Subsequent Close Interest",E25)),-H25,
ISNUMBER(SEARCH("Distribution: Tax Withheld",E25)),H25,
ISNUMBER(SEARCH("Distribution: Refund of Tax Withheld",E25)),-H25),0)</f>
        <v>0</v>
      </c>
      <c r="L25" s="12"/>
    </row>
    <row r="26" spans="1:12" ht="15" customHeight="1" x14ac:dyDescent="0.2">
      <c r="B26" s="111"/>
      <c r="C26" s="112"/>
      <c r="D26" s="113"/>
      <c r="E26" s="111"/>
      <c r="F26" s="112"/>
      <c r="G26" s="113"/>
      <c r="H26" s="51"/>
      <c r="I26" s="52"/>
      <c r="J26" s="53" t="str" cm="1">
        <f t="array" ref="J26">IFERROR(_xlfn.IFS(AND(I26="Decrease",H26&lt;0),H26,AND(I26="Decrease",H26&gt;0),-H26,AND(I26="Increase",H26&gt;0),H26,AND(I26="Increase",H26&lt;0),-H26,AND(I26="No Impact",H26=0),"0.00"),"0.00")</f>
        <v>0.00</v>
      </c>
      <c r="K26" s="53" cm="1">
        <f t="array" ref="K26">IFERROR(_xlfn.IFS(
ISNUMBER(SEARCH("Capital call:",E26)),H26,
ISNUMBER(SEARCH("Distribution: Carry",E26)),H26,
ISNUMBER(SEARCH("Distribution: Clawback",E26)),-H26,
ISNUMBER(SEARCH("Distribution: Income",E26)),-H26,
ISNUMBER(SEARCH("Distribution: Dividends",E26)),-H26,
ISNUMBER(SEARCH("Distribution: Other (Provide explanation in far-left column)",E26)),-H26,
ISNUMBER(SEARCH("Distribution: Realized Gain / (Loss) - Cash (input negative value for loss)",E26)),-H26,
ISNUMBER(SEARCH("Distribution: Realized Gain / (Loss) - Stock (input negative value for loss)",E26)),-H26,
ISNUMBER(SEARCH("Distribution: Return of Capital - Cash",E26)),-H26,
ISNUMBER(SEARCH("Distribution: Return of Capital - Stock",E26)),-H26,
ISNUMBER(SEARCH("Distribution: From NAV-Based Facility",E26)),-H26,
ISNUMBER(SEARCH("Negative Contribution: Return of Excess Capital Called",E26)),-H26,
ISNUMBER(SEARCH("Negative Contribution: Return of Excess Capital Called - Investments",E26)),-H26,
ISNUMBER(SEARCH("Negative Contribution: Return of Excess Capital Called - Management Fees/Partnership Expenses",E26)),-H26,
ISNUMBER(SEARCH("Distribution: Subsequent Close Interest",E26)),-H26,
ISNUMBER(SEARCH("Distribution: Tax Withheld",E26)),H26,
ISNUMBER(SEARCH("Distribution: Refund of Tax Withheld",E26)),-H26),0)</f>
        <v>0</v>
      </c>
      <c r="L26" s="12"/>
    </row>
    <row r="27" spans="1:12" ht="15" customHeight="1" x14ac:dyDescent="0.2">
      <c r="B27" s="111"/>
      <c r="C27" s="112"/>
      <c r="D27" s="113"/>
      <c r="E27" s="111"/>
      <c r="F27" s="112"/>
      <c r="G27" s="113"/>
      <c r="H27" s="51"/>
      <c r="I27" s="52"/>
      <c r="J27" s="53" t="str" cm="1">
        <f t="array" ref="J27">IFERROR(_xlfn.IFS(AND(I27="Decrease",H27&lt;0),H27,AND(I27="Decrease",H27&gt;0),-H27,AND(I27="Increase",H27&gt;0),H27,AND(I27="Increase",H27&lt;0),-H27,AND(I27="No Impact",H27=0),"0.00"),"0.00")</f>
        <v>0.00</v>
      </c>
      <c r="K27" s="53" cm="1">
        <f t="array" ref="K27">IFERROR(_xlfn.IFS(
ISNUMBER(SEARCH("Capital call:",E27)),H27,
ISNUMBER(SEARCH("Distribution: Carry",E27)),H27,
ISNUMBER(SEARCH("Distribution: Clawback",E27)),-H27,
ISNUMBER(SEARCH("Distribution: Income",E27)),-H27,
ISNUMBER(SEARCH("Distribution: Dividends",E27)),-H27,
ISNUMBER(SEARCH("Distribution: Other (Provide explanation in far-left column)",E27)),-H27,
ISNUMBER(SEARCH("Distribution: Realized Gain / (Loss) - Cash (input negative value for loss)",E27)),-H27,
ISNUMBER(SEARCH("Distribution: Realized Gain / (Loss) - Stock (input negative value for loss)",E27)),-H27,
ISNUMBER(SEARCH("Distribution: Return of Capital - Cash",E27)),-H27,
ISNUMBER(SEARCH("Distribution: Return of Capital - Stock",E27)),-H27,
ISNUMBER(SEARCH("Distribution: From NAV-Based Facility",E27)),-H27,
ISNUMBER(SEARCH("Negative Contribution: Return of Excess Capital Called",E27)),-H27,
ISNUMBER(SEARCH("Negative Contribution: Return of Excess Capital Called - Investments",E27)),-H27,
ISNUMBER(SEARCH("Negative Contribution: Return of Excess Capital Called - Management Fees/Partnership Expenses",E27)),-H27,
ISNUMBER(SEARCH("Distribution: Subsequent Close Interest",E27)),-H27,
ISNUMBER(SEARCH("Distribution: Tax Withheld",E27)),H27,
ISNUMBER(SEARCH("Distribution: Refund of Tax Withheld",E27)),-H27),0)</f>
        <v>0</v>
      </c>
      <c r="L27" s="12"/>
    </row>
    <row r="28" spans="1:12" ht="15" customHeight="1" x14ac:dyDescent="0.2">
      <c r="B28" s="111"/>
      <c r="C28" s="112"/>
      <c r="D28" s="113"/>
      <c r="E28" s="111"/>
      <c r="F28" s="112"/>
      <c r="G28" s="113"/>
      <c r="H28" s="51"/>
      <c r="I28" s="52"/>
      <c r="J28" s="53" t="str" cm="1">
        <f t="array" ref="J28">IFERROR(_xlfn.IFS(AND(I28="Decrease",H28&lt;0),H28,AND(I28="Decrease",H28&gt;0),-H28,AND(I28="Increase",H28&gt;0),H28,AND(I28="Increase",H28&lt;0),-H28,AND(I28="No Impact",H28=0),"0.00"),"0.00")</f>
        <v>0.00</v>
      </c>
      <c r="K28" s="53" cm="1">
        <f t="array" ref="K28">IFERROR(_xlfn.IFS(
ISNUMBER(SEARCH("Capital call:",E28)),H28,
ISNUMBER(SEARCH("Distribution: Carry",E28)),H28,
ISNUMBER(SEARCH("Distribution: Clawback",E28)),-H28,
ISNUMBER(SEARCH("Distribution: Income",E28)),-H28,
ISNUMBER(SEARCH("Distribution: Dividends",E28)),-H28,
ISNUMBER(SEARCH("Distribution: Other (Provide explanation in far-left column)",E28)),-H28,
ISNUMBER(SEARCH("Distribution: Realized Gain / (Loss) - Cash (input negative value for loss)",E28)),-H28,
ISNUMBER(SEARCH("Distribution: Realized Gain / (Loss) - Stock (input negative value for loss)",E28)),-H28,
ISNUMBER(SEARCH("Distribution: Return of Capital - Cash",E28)),-H28,
ISNUMBER(SEARCH("Distribution: Return of Capital - Stock",E28)),-H28,
ISNUMBER(SEARCH("Distribution: From NAV-Based Facility",E28)),-H28,
ISNUMBER(SEARCH("Negative Contribution: Return of Excess Capital Called",E28)),-H28,
ISNUMBER(SEARCH("Negative Contribution: Return of Excess Capital Called - Investments",E28)),-H28,
ISNUMBER(SEARCH("Negative Contribution: Return of Excess Capital Called - Management Fees/Partnership Expenses",E28)),-H28,
ISNUMBER(SEARCH("Distribution: Subsequent Close Interest",E28)),-H28,
ISNUMBER(SEARCH("Distribution: Tax Withheld",E28)),H28,
ISNUMBER(SEARCH("Distribution: Refund of Tax Withheld",E28)),-H28),0)</f>
        <v>0</v>
      </c>
      <c r="L28" s="12"/>
    </row>
    <row r="29" spans="1:12" ht="15" customHeight="1" x14ac:dyDescent="0.2">
      <c r="B29" s="111"/>
      <c r="C29" s="112"/>
      <c r="D29" s="113"/>
      <c r="E29" s="111"/>
      <c r="F29" s="112"/>
      <c r="G29" s="113"/>
      <c r="H29" s="51"/>
      <c r="I29" s="52"/>
      <c r="J29" s="53" t="str" cm="1">
        <f t="array" ref="J29">IFERROR(_xlfn.IFS(AND(I29="Decrease",H29&lt;0),H29,AND(I29="Decrease",H29&gt;0),-H29,AND(I29="Increase",H29&gt;0),H29,AND(I29="Increase",H29&lt;0),-H29,AND(I29="No Impact",H29=0),"0.00"),"0.00")</f>
        <v>0.00</v>
      </c>
      <c r="K29" s="53" cm="1">
        <f t="array" ref="K29">IFERROR(_xlfn.IFS(
ISNUMBER(SEARCH("Capital call:",E29)),H29,
ISNUMBER(SEARCH("Distribution: Carry",E29)),H29,
ISNUMBER(SEARCH("Distribution: Clawback",E29)),-H29,
ISNUMBER(SEARCH("Distribution: Income",E29)),-H29,
ISNUMBER(SEARCH("Distribution: Dividends",E29)),-H29,
ISNUMBER(SEARCH("Distribution: Other (Provide explanation in far-left column)",E29)),-H29,
ISNUMBER(SEARCH("Distribution: Realized Gain / (Loss) - Cash (input negative value for loss)",E29)),-H29,
ISNUMBER(SEARCH("Distribution: Realized Gain / (Loss) - Stock (input negative value for loss)",E29)),-H29,
ISNUMBER(SEARCH("Distribution: Return of Capital - Cash",E29)),-H29,
ISNUMBER(SEARCH("Distribution: Return of Capital - Stock",E29)),-H29,
ISNUMBER(SEARCH("Distribution: From NAV-Based Facility",E29)),-H29,
ISNUMBER(SEARCH("Negative Contribution: Return of Excess Capital Called",E29)),-H29,
ISNUMBER(SEARCH("Negative Contribution: Return of Excess Capital Called - Investments",E29)),-H29,
ISNUMBER(SEARCH("Negative Contribution: Return of Excess Capital Called - Management Fees/Partnership Expenses",E29)),-H29,
ISNUMBER(SEARCH("Distribution: Subsequent Close Interest",E29)),-H29,
ISNUMBER(SEARCH("Distribution: Tax Withheld",E29)),H29,
ISNUMBER(SEARCH("Distribution: Refund of Tax Withheld",E29)),-H29),0)</f>
        <v>0</v>
      </c>
      <c r="L29" s="12"/>
    </row>
    <row r="30" spans="1:12" ht="15" customHeight="1" x14ac:dyDescent="0.2">
      <c r="B30" s="111"/>
      <c r="C30" s="112"/>
      <c r="D30" s="113"/>
      <c r="E30" s="111"/>
      <c r="F30" s="112"/>
      <c r="G30" s="113"/>
      <c r="H30" s="51"/>
      <c r="I30" s="52"/>
      <c r="J30" s="53" t="str" cm="1">
        <f t="array" ref="J30">IFERROR(_xlfn.IFS(AND(I30="Decrease",H30&lt;0),H30,AND(I30="Decrease",H30&gt;0),-H30,AND(I30="Increase",H30&gt;0),H30,AND(I30="Increase",H30&lt;0),-H30,AND(I30="No Impact",H30=0),"0.00"),"0.00")</f>
        <v>0.00</v>
      </c>
      <c r="K30" s="53" cm="1">
        <f t="array" ref="K30">IFERROR(_xlfn.IFS(
ISNUMBER(SEARCH("Capital call:",E30)),H30,
ISNUMBER(SEARCH("Distribution: Carry",E30)),H30,
ISNUMBER(SEARCH("Distribution: Clawback",E30)),-H30,
ISNUMBER(SEARCH("Distribution: Income",E30)),-H30,
ISNUMBER(SEARCH("Distribution: Dividends",E30)),-H30,
ISNUMBER(SEARCH("Distribution: Other (Provide explanation in far-left column)",E30)),-H30,
ISNUMBER(SEARCH("Distribution: Realized Gain / (Loss) - Cash (input negative value for loss)",E30)),-H30,
ISNUMBER(SEARCH("Distribution: Realized Gain / (Loss) - Stock (input negative value for loss)",E30)),-H30,
ISNUMBER(SEARCH("Distribution: Return of Capital - Cash",E30)),-H30,
ISNUMBER(SEARCH("Distribution: Return of Capital - Stock",E30)),-H30,
ISNUMBER(SEARCH("Distribution: From NAV-Based Facility",E30)),-H30,
ISNUMBER(SEARCH("Negative Contribution: Return of Excess Capital Called",E30)),-H30,
ISNUMBER(SEARCH("Negative Contribution: Return of Excess Capital Called - Investments",E30)),-H30,
ISNUMBER(SEARCH("Negative Contribution: Return of Excess Capital Called - Management Fees/Partnership Expenses",E30)),-H30,
ISNUMBER(SEARCH("Distribution: Subsequent Close Interest",E30)),-H30,
ISNUMBER(SEARCH("Distribution: Tax Withheld",E30)),H30,
ISNUMBER(SEARCH("Distribution: Refund of Tax Withheld",E30)),-H30),0)</f>
        <v>0</v>
      </c>
      <c r="L30" s="12"/>
    </row>
    <row r="31" spans="1:12" ht="15" customHeight="1" x14ac:dyDescent="0.2">
      <c r="B31" s="111"/>
      <c r="C31" s="112"/>
      <c r="D31" s="113"/>
      <c r="E31" s="111"/>
      <c r="F31" s="112"/>
      <c r="G31" s="113"/>
      <c r="H31" s="51"/>
      <c r="I31" s="52"/>
      <c r="J31" s="53" t="str" cm="1">
        <f t="array" ref="J31">IFERROR(_xlfn.IFS(AND(I31="Decrease",H31&lt;0),H31,AND(I31="Decrease",H31&gt;0),-H31,AND(I31="Increase",H31&gt;0),H31,AND(I31="Increase",H31&lt;0),-H31,AND(I31="No Impact",H31=0),"0.00"),"0.00")</f>
        <v>0.00</v>
      </c>
      <c r="K31" s="53" cm="1">
        <f t="array" ref="K31">IFERROR(_xlfn.IFS(
ISNUMBER(SEARCH("Capital call:",E31)),H31,
ISNUMBER(SEARCH("Distribution: Carry",E31)),H31,
ISNUMBER(SEARCH("Distribution: Clawback",E31)),-H31,
ISNUMBER(SEARCH("Distribution: Income",E31)),-H31,
ISNUMBER(SEARCH("Distribution: Dividends",E31)),-H31,
ISNUMBER(SEARCH("Distribution: Other (Provide explanation in far-left column)",E31)),-H31,
ISNUMBER(SEARCH("Distribution: Realized Gain / (Loss) - Cash (input negative value for loss)",E31)),-H31,
ISNUMBER(SEARCH("Distribution: Realized Gain / (Loss) - Stock (input negative value for loss)",E31)),-H31,
ISNUMBER(SEARCH("Distribution: Return of Capital - Cash",E31)),-H31,
ISNUMBER(SEARCH("Distribution: Return of Capital - Stock",E31)),-H31,
ISNUMBER(SEARCH("Distribution: From NAV-Based Facility",E31)),-H31,
ISNUMBER(SEARCH("Negative Contribution: Return of Excess Capital Called",E31)),-H31,
ISNUMBER(SEARCH("Negative Contribution: Return of Excess Capital Called - Investments",E31)),-H31,
ISNUMBER(SEARCH("Negative Contribution: Return of Excess Capital Called - Management Fees/Partnership Expenses",E31)),-H31,
ISNUMBER(SEARCH("Distribution: Subsequent Close Interest",E31)),-H31,
ISNUMBER(SEARCH("Distribution: Tax Withheld",E31)),H31,
ISNUMBER(SEARCH("Distribution: Refund of Tax Withheld",E31)),-H31),0)</f>
        <v>0</v>
      </c>
      <c r="L31" s="12"/>
    </row>
    <row r="32" spans="1:12" ht="15" customHeight="1" x14ac:dyDescent="0.2">
      <c r="B32" s="111"/>
      <c r="C32" s="112"/>
      <c r="D32" s="113"/>
      <c r="E32" s="111"/>
      <c r="F32" s="112"/>
      <c r="G32" s="113"/>
      <c r="H32" s="51"/>
      <c r="I32" s="52"/>
      <c r="J32" s="53" t="str" cm="1">
        <f t="array" ref="J32">IFERROR(_xlfn.IFS(AND(I32="Decrease",H32&lt;0),H32,AND(I32="Decrease",H32&gt;0),-H32,AND(I32="Increase",H32&gt;0),H32,AND(I32="Increase",H32&lt;0),-H32,AND(I32="No Impact",H32=0),"0.00"),"0.00")</f>
        <v>0.00</v>
      </c>
      <c r="K32" s="53" cm="1">
        <f t="array" ref="K32">IFERROR(_xlfn.IFS(
ISNUMBER(SEARCH("Capital call:",E32)),H32,
ISNUMBER(SEARCH("Distribution: Carry",E32)),H32,
ISNUMBER(SEARCH("Distribution: Clawback",E32)),-H32,
ISNUMBER(SEARCH("Distribution: Income",E32)),-H32,
ISNUMBER(SEARCH("Distribution: Dividends",E32)),-H32,
ISNUMBER(SEARCH("Distribution: Other (Provide explanation in far-left column)",E32)),-H32,
ISNUMBER(SEARCH("Distribution: Realized Gain / (Loss) - Cash (input negative value for loss)",E32)),-H32,
ISNUMBER(SEARCH("Distribution: Realized Gain / (Loss) - Stock (input negative value for loss)",E32)),-H32,
ISNUMBER(SEARCH("Distribution: Return of Capital - Cash",E32)),-H32,
ISNUMBER(SEARCH("Distribution: Return of Capital - Stock",E32)),-H32,
ISNUMBER(SEARCH("Distribution: From NAV-Based Facility",E32)),-H32,
ISNUMBER(SEARCH("Negative Contribution: Return of Excess Capital Called",E32)),-H32,
ISNUMBER(SEARCH("Negative Contribution: Return of Excess Capital Called - Investments",E32)),-H32,
ISNUMBER(SEARCH("Negative Contribution: Return of Excess Capital Called - Management Fees/Partnership Expenses",E32)),-H32,
ISNUMBER(SEARCH("Distribution: Subsequent Close Interest",E32)),-H32,
ISNUMBER(SEARCH("Distribution: Tax Withheld",E32)),H32,
ISNUMBER(SEARCH("Distribution: Refund of Tax Withheld",E32)),-H32),0)</f>
        <v>0</v>
      </c>
      <c r="L32" s="12"/>
    </row>
    <row r="33" spans="2:12" ht="15" customHeight="1" x14ac:dyDescent="0.2">
      <c r="B33" s="111"/>
      <c r="C33" s="112"/>
      <c r="D33" s="113"/>
      <c r="E33" s="111"/>
      <c r="F33" s="112"/>
      <c r="G33" s="113"/>
      <c r="H33" s="51"/>
      <c r="I33" s="52"/>
      <c r="J33" s="53" t="str" cm="1">
        <f t="array" ref="J33">IFERROR(_xlfn.IFS(AND(I33="Decrease",H33&lt;0),H33,AND(I33="Decrease",H33&gt;0),-H33,AND(I33="Increase",H33&gt;0),H33,AND(I33="Increase",H33&lt;0),-H33,AND(I33="No Impact",H33=0),"0.00"),"0.00")</f>
        <v>0.00</v>
      </c>
      <c r="K33" s="53" cm="1">
        <f t="array" ref="K33">IFERROR(_xlfn.IFS(
ISNUMBER(SEARCH("Capital call:",E33)),H33,
ISNUMBER(SEARCH("Distribution: Carry",E33)),H33,
ISNUMBER(SEARCH("Distribution: Clawback",E33)),-H33,
ISNUMBER(SEARCH("Distribution: Income",E33)),-H33,
ISNUMBER(SEARCH("Distribution: Dividends",E33)),-H33,
ISNUMBER(SEARCH("Distribution: Other (Provide explanation in far-left column)",E33)),-H33,
ISNUMBER(SEARCH("Distribution: Realized Gain / (Loss) - Cash (input negative value for loss)",E33)),-H33,
ISNUMBER(SEARCH("Distribution: Realized Gain / (Loss) - Stock (input negative value for loss)",E33)),-H33,
ISNUMBER(SEARCH("Distribution: Return of Capital - Cash",E33)),-H33,
ISNUMBER(SEARCH("Distribution: Return of Capital - Stock",E33)),-H33,
ISNUMBER(SEARCH("Distribution: From NAV-Based Facility",E33)),-H33,
ISNUMBER(SEARCH("Negative Contribution: Return of Excess Capital Called",E33)),-H33,
ISNUMBER(SEARCH("Negative Contribution: Return of Excess Capital Called - Investments",E33)),-H33,
ISNUMBER(SEARCH("Negative Contribution: Return of Excess Capital Called - Management Fees/Partnership Expenses",E33)),-H33,
ISNUMBER(SEARCH("Distribution: Subsequent Close Interest",E33)),-H33,
ISNUMBER(SEARCH("Distribution: Tax Withheld",E33)),H33,
ISNUMBER(SEARCH("Distribution: Refund of Tax Withheld",E33)),-H33),0)</f>
        <v>0</v>
      </c>
      <c r="L33" s="12"/>
    </row>
    <row r="34" spans="2:12" ht="15" customHeight="1" x14ac:dyDescent="0.2">
      <c r="B34" s="111"/>
      <c r="C34" s="112"/>
      <c r="D34" s="113"/>
      <c r="E34" s="111"/>
      <c r="F34" s="112"/>
      <c r="G34" s="113"/>
      <c r="H34" s="51"/>
      <c r="I34" s="52"/>
      <c r="J34" s="53" t="str" cm="1">
        <f t="array" ref="J34">IFERROR(_xlfn.IFS(AND(I34="Decrease",H34&lt;0),H34,AND(I34="Decrease",H34&gt;0),-H34,AND(I34="Increase",H34&gt;0),H34,AND(I34="Increase",H34&lt;0),-H34,AND(I34="No Impact",H34=0),"0.00"),"0.00")</f>
        <v>0.00</v>
      </c>
      <c r="K34" s="53" cm="1">
        <f t="array" ref="K34">IFERROR(_xlfn.IFS(
ISNUMBER(SEARCH("Capital call:",E34)),H34,
ISNUMBER(SEARCH("Distribution: Carry",E34)),H34,
ISNUMBER(SEARCH("Distribution: Clawback",E34)),-H34,
ISNUMBER(SEARCH("Distribution: Income",E34)),-H34,
ISNUMBER(SEARCH("Distribution: Dividends",E34)),-H34,
ISNUMBER(SEARCH("Distribution: Other (Provide explanation in far-left column)",E34)),-H34,
ISNUMBER(SEARCH("Distribution: Realized Gain / (Loss) - Cash (input negative value for loss)",E34)),-H34,
ISNUMBER(SEARCH("Distribution: Realized Gain / (Loss) - Stock (input negative value for loss)",E34)),-H34,
ISNUMBER(SEARCH("Distribution: Return of Capital - Cash",E34)),-H34,
ISNUMBER(SEARCH("Distribution: Return of Capital - Stock",E34)),-H34,
ISNUMBER(SEARCH("Distribution: From NAV-Based Facility",E34)),-H34,
ISNUMBER(SEARCH("Negative Contribution: Return of Excess Capital Called",E34)),-H34,
ISNUMBER(SEARCH("Negative Contribution: Return of Excess Capital Called - Investments",E34)),-H34,
ISNUMBER(SEARCH("Negative Contribution: Return of Excess Capital Called - Management Fees/Partnership Expenses",E34)),-H34,
ISNUMBER(SEARCH("Distribution: Subsequent Close Interest",E34)),-H34,
ISNUMBER(SEARCH("Distribution: Tax Withheld",E34)),H34,
ISNUMBER(SEARCH("Distribution: Refund of Tax Withheld",E34)),-H34),0)</f>
        <v>0</v>
      </c>
      <c r="L34" s="12"/>
    </row>
    <row r="35" spans="2:12" ht="15" customHeight="1" x14ac:dyDescent="0.2">
      <c r="B35" s="111"/>
      <c r="C35" s="112"/>
      <c r="D35" s="113"/>
      <c r="E35" s="111"/>
      <c r="F35" s="112"/>
      <c r="G35" s="113"/>
      <c r="H35" s="51"/>
      <c r="I35" s="52"/>
      <c r="J35" s="53" t="str" cm="1">
        <f t="array" ref="J35">IFERROR(_xlfn.IFS(AND(I35="Decrease",H35&lt;0),H35,AND(I35="Decrease",H35&gt;0),-H35,AND(I35="Increase",H35&gt;0),H35,AND(I35="Increase",H35&lt;0),-H35,AND(I35="No Impact",H35=0),"0.00"),"0.00")</f>
        <v>0.00</v>
      </c>
      <c r="K35" s="53" cm="1">
        <f t="array" ref="K35">IFERROR(_xlfn.IFS(
ISNUMBER(SEARCH("Capital call:",E35)),H35,
ISNUMBER(SEARCH("Distribution: Carry",E35)),H35,
ISNUMBER(SEARCH("Distribution: Clawback",E35)),-H35,
ISNUMBER(SEARCH("Distribution: Income",E35)),-H35,
ISNUMBER(SEARCH("Distribution: Dividends",E35)),-H35,
ISNUMBER(SEARCH("Distribution: Other (Provide explanation in far-left column)",E35)),-H35,
ISNUMBER(SEARCH("Distribution: Realized Gain / (Loss) - Cash (input negative value for loss)",E35)),-H35,
ISNUMBER(SEARCH("Distribution: Realized Gain / (Loss) - Stock (input negative value for loss)",E35)),-H35,
ISNUMBER(SEARCH("Distribution: Return of Capital - Cash",E35)),-H35,
ISNUMBER(SEARCH("Distribution: Return of Capital - Stock",E35)),-H35,
ISNUMBER(SEARCH("Distribution: From NAV-Based Facility",E35)),-H35,
ISNUMBER(SEARCH("Negative Contribution: Return of Excess Capital Called",E35)),-H35,
ISNUMBER(SEARCH("Negative Contribution: Return of Excess Capital Called - Investments",E35)),-H35,
ISNUMBER(SEARCH("Negative Contribution: Return of Excess Capital Called - Management Fees/Partnership Expenses",E35)),-H35,
ISNUMBER(SEARCH("Distribution: Subsequent Close Interest",E35)),-H35,
ISNUMBER(SEARCH("Distribution: Tax Withheld",E35)),H35,
ISNUMBER(SEARCH("Distribution: Refund of Tax Withheld",E35)),-H35),0)</f>
        <v>0</v>
      </c>
      <c r="L35" s="12"/>
    </row>
    <row r="36" spans="2:12" ht="15" customHeight="1" x14ac:dyDescent="0.2">
      <c r="B36" s="111"/>
      <c r="C36" s="112"/>
      <c r="D36" s="113"/>
      <c r="E36" s="111"/>
      <c r="F36" s="112"/>
      <c r="G36" s="113"/>
      <c r="H36" s="51"/>
      <c r="I36" s="52"/>
      <c r="J36" s="53" t="str" cm="1">
        <f t="array" ref="J36">IFERROR(_xlfn.IFS(AND(I36="Decrease",H36&lt;0),H36,AND(I36="Decrease",H36&gt;0),-H36,AND(I36="Increase",H36&gt;0),H36,AND(I36="Increase",H36&lt;0),-H36,AND(I36="No Impact",H36=0),"0.00"),"0.00")</f>
        <v>0.00</v>
      </c>
      <c r="K36" s="53" cm="1">
        <f t="array" ref="K36">IFERROR(_xlfn.IFS(
ISNUMBER(SEARCH("Capital call:",E36)),H36,
ISNUMBER(SEARCH("Distribution: Carry",E36)),H36,
ISNUMBER(SEARCH("Distribution: Clawback",E36)),-H36,
ISNUMBER(SEARCH("Distribution: Income",E36)),-H36,
ISNUMBER(SEARCH("Distribution: Dividends",E36)),-H36,
ISNUMBER(SEARCH("Distribution: Other (Provide explanation in far-left column)",E36)),-H36,
ISNUMBER(SEARCH("Distribution: Realized Gain / (Loss) - Cash (input negative value for loss)",E36)),-H36,
ISNUMBER(SEARCH("Distribution: Realized Gain / (Loss) - Stock (input negative value for loss)",E36)),-H36,
ISNUMBER(SEARCH("Distribution: Return of Capital - Cash",E36)),-H36,
ISNUMBER(SEARCH("Distribution: Return of Capital - Stock",E36)),-H36,
ISNUMBER(SEARCH("Distribution: From NAV-Based Facility",E36)),-H36,
ISNUMBER(SEARCH("Negative Contribution: Return of Excess Capital Called",E36)),-H36,
ISNUMBER(SEARCH("Negative Contribution: Return of Excess Capital Called - Investments",E36)),-H36,
ISNUMBER(SEARCH("Negative Contribution: Return of Excess Capital Called - Management Fees/Partnership Expenses",E36)),-H36,
ISNUMBER(SEARCH("Distribution: Subsequent Close Interest",E36)),-H36,
ISNUMBER(SEARCH("Distribution: Tax Withheld",E36)),H36,
ISNUMBER(SEARCH("Distribution: Refund of Tax Withheld",E36)),-H36),0)</f>
        <v>0</v>
      </c>
      <c r="L36" s="12"/>
    </row>
    <row r="37" spans="2:12" ht="15" customHeight="1" x14ac:dyDescent="0.2">
      <c r="B37" s="111"/>
      <c r="C37" s="112"/>
      <c r="D37" s="113"/>
      <c r="E37" s="111"/>
      <c r="F37" s="112"/>
      <c r="G37" s="113"/>
      <c r="H37" s="51"/>
      <c r="I37" s="52"/>
      <c r="J37" s="53" t="str" cm="1">
        <f t="array" ref="J37">IFERROR(_xlfn.IFS(AND(I37="Decrease",H37&lt;0),H37,AND(I37="Decrease",H37&gt;0),-H37,AND(I37="Increase",H37&gt;0),H37,AND(I37="Increase",H37&lt;0),-H37,AND(I37="No Impact",H37=0),"0.00"),"0.00")</f>
        <v>0.00</v>
      </c>
      <c r="K37" s="53" cm="1">
        <f t="array" ref="K37">IFERROR(_xlfn.IFS(
ISNUMBER(SEARCH("Capital call:",E37)),H37,
ISNUMBER(SEARCH("Distribution: Carry",E37)),H37,
ISNUMBER(SEARCH("Distribution: Clawback",E37)),-H37,
ISNUMBER(SEARCH("Distribution: Income",E37)),-H37,
ISNUMBER(SEARCH("Distribution: Dividends",E37)),-H37,
ISNUMBER(SEARCH("Distribution: Other (Provide explanation in far-left column)",E37)),-H37,
ISNUMBER(SEARCH("Distribution: Realized Gain / (Loss) - Cash (input negative value for loss)",E37)),-H37,
ISNUMBER(SEARCH("Distribution: Realized Gain / (Loss) - Stock (input negative value for loss)",E37)),-H37,
ISNUMBER(SEARCH("Distribution: Return of Capital - Cash",E37)),-H37,
ISNUMBER(SEARCH("Distribution: Return of Capital - Stock",E37)),-H37,
ISNUMBER(SEARCH("Distribution: From NAV-Based Facility",E37)),-H37,
ISNUMBER(SEARCH("Negative Contribution: Return of Excess Capital Called",E37)),-H37,
ISNUMBER(SEARCH("Negative Contribution: Return of Excess Capital Called - Investments",E37)),-H37,
ISNUMBER(SEARCH("Negative Contribution: Return of Excess Capital Called - Management Fees/Partnership Expenses",E37)),-H37,
ISNUMBER(SEARCH("Distribution: Subsequent Close Interest",E37)),-H37,
ISNUMBER(SEARCH("Distribution: Tax Withheld",E37)),H37,
ISNUMBER(SEARCH("Distribution: Refund of Tax Withheld",E37)),-H37),0)</f>
        <v>0</v>
      </c>
      <c r="L37" s="12"/>
    </row>
    <row r="38" spans="2:12" ht="15" customHeight="1" x14ac:dyDescent="0.2">
      <c r="B38" s="111"/>
      <c r="C38" s="112"/>
      <c r="D38" s="113"/>
      <c r="E38" s="111"/>
      <c r="F38" s="112"/>
      <c r="G38" s="113"/>
      <c r="H38" s="51"/>
      <c r="I38" s="52"/>
      <c r="J38" s="53" t="str" cm="1">
        <f t="array" ref="J38">IFERROR(_xlfn.IFS(AND(I38="Decrease",H38&lt;0),H38,AND(I38="Decrease",H38&gt;0),-H38,AND(I38="Increase",H38&gt;0),H38,AND(I38="Increase",H38&lt;0),-H38,AND(I38="No Impact",H38=0),"0.00"),"0.00")</f>
        <v>0.00</v>
      </c>
      <c r="K38" s="53" cm="1">
        <f t="array" ref="K38">IFERROR(_xlfn.IFS(
ISNUMBER(SEARCH("Capital call:",E38)),H38,
ISNUMBER(SEARCH("Distribution: Carry",E38)),H38,
ISNUMBER(SEARCH("Distribution: Clawback",E38)),-H38,
ISNUMBER(SEARCH("Distribution: Income",E38)),-H38,
ISNUMBER(SEARCH("Distribution: Dividends",E38)),-H38,
ISNUMBER(SEARCH("Distribution: Other (Provide explanation in far-left column)",E38)),-H38,
ISNUMBER(SEARCH("Distribution: Realized Gain / (Loss) - Cash (input negative value for loss)",E38)),-H38,
ISNUMBER(SEARCH("Distribution: Realized Gain / (Loss) - Stock (input negative value for loss)",E38)),-H38,
ISNUMBER(SEARCH("Distribution: Return of Capital - Cash",E38)),-H38,
ISNUMBER(SEARCH("Distribution: Return of Capital - Stock",E38)),-H38,
ISNUMBER(SEARCH("Distribution: From NAV-Based Facility",E38)),-H38,
ISNUMBER(SEARCH("Negative Contribution: Return of Excess Capital Called",E38)),-H38,
ISNUMBER(SEARCH("Negative Contribution: Return of Excess Capital Called - Investments",E38)),-H38,
ISNUMBER(SEARCH("Negative Contribution: Return of Excess Capital Called - Management Fees/Partnership Expenses",E38)),-H38,
ISNUMBER(SEARCH("Distribution: Subsequent Close Interest",E38)),-H38,
ISNUMBER(SEARCH("Distribution: Tax Withheld",E38)),H38,
ISNUMBER(SEARCH("Distribution: Refund of Tax Withheld",E38)),-H38),0)</f>
        <v>0</v>
      </c>
      <c r="L38" s="12"/>
    </row>
    <row r="39" spans="2:12" ht="15" customHeight="1" x14ac:dyDescent="0.2">
      <c r="B39" s="111"/>
      <c r="C39" s="112"/>
      <c r="D39" s="113"/>
      <c r="E39" s="111"/>
      <c r="F39" s="112"/>
      <c r="G39" s="113"/>
      <c r="H39" s="51"/>
      <c r="I39" s="52"/>
      <c r="J39" s="53" t="str" cm="1">
        <f t="array" ref="J39">IFERROR(_xlfn.IFS(AND(I39="Decrease",H39&lt;0),H39,AND(I39="Decrease",H39&gt;0),-H39,AND(I39="Increase",H39&gt;0),H39,AND(I39="Increase",H39&lt;0),-H39,AND(I39="No Impact",H39=0),"0.00"),"0.00")</f>
        <v>0.00</v>
      </c>
      <c r="K39" s="53" cm="1">
        <f t="array" ref="K39">IFERROR(_xlfn.IFS(
ISNUMBER(SEARCH("Capital call:",E39)),H39,
ISNUMBER(SEARCH("Distribution: Carry",E39)),H39,
ISNUMBER(SEARCH("Distribution: Clawback",E39)),-H39,
ISNUMBER(SEARCH("Distribution: Income",E39)),-H39,
ISNUMBER(SEARCH("Distribution: Dividends",E39)),-H39,
ISNUMBER(SEARCH("Distribution: Other (Provide explanation in far-left column)",E39)),-H39,
ISNUMBER(SEARCH("Distribution: Realized Gain / (Loss) - Cash (input negative value for loss)",E39)),-H39,
ISNUMBER(SEARCH("Distribution: Realized Gain / (Loss) - Stock (input negative value for loss)",E39)),-H39,
ISNUMBER(SEARCH("Distribution: Return of Capital - Cash",E39)),-H39,
ISNUMBER(SEARCH("Distribution: Return of Capital - Stock",E39)),-H39,
ISNUMBER(SEARCH("Distribution: From NAV-Based Facility",E39)),-H39,
ISNUMBER(SEARCH("Negative Contribution: Return of Excess Capital Called",E39)),-H39,
ISNUMBER(SEARCH("Negative Contribution: Return of Excess Capital Called - Investments",E39)),-H39,
ISNUMBER(SEARCH("Negative Contribution: Return of Excess Capital Called - Management Fees/Partnership Expenses",E39)),-H39,
ISNUMBER(SEARCH("Distribution: Subsequent Close Interest",E39)),-H39,
ISNUMBER(SEARCH("Distribution: Tax Withheld",E39)),H39,
ISNUMBER(SEARCH("Distribution: Refund of Tax Withheld",E39)),-H39),0)</f>
        <v>0</v>
      </c>
      <c r="L39" s="12"/>
    </row>
    <row r="40" spans="2:12" ht="15" customHeight="1" x14ac:dyDescent="0.2">
      <c r="B40" s="111"/>
      <c r="C40" s="112"/>
      <c r="D40" s="113"/>
      <c r="E40" s="111"/>
      <c r="F40" s="112"/>
      <c r="G40" s="113"/>
      <c r="H40" s="51"/>
      <c r="I40" s="52"/>
      <c r="J40" s="53" t="str" cm="1">
        <f t="array" ref="J40">IFERROR(_xlfn.IFS(AND(I40="Decrease",H40&lt;0),H40,AND(I40="Decrease",H40&gt;0),-H40,AND(I40="Increase",H40&gt;0),H40,AND(I40="Increase",H40&lt;0),-H40,AND(I40="No Impact",H40=0),"0.00"),"0.00")</f>
        <v>0.00</v>
      </c>
      <c r="K40" s="53" cm="1">
        <f t="array" ref="K40">IFERROR(_xlfn.IFS(
ISNUMBER(SEARCH("Capital call:",E40)),H40,
ISNUMBER(SEARCH("Distribution: Carry",E40)),H40,
ISNUMBER(SEARCH("Distribution: Clawback",E40)),-H40,
ISNUMBER(SEARCH("Distribution: Income",E40)),-H40,
ISNUMBER(SEARCH("Distribution: Dividends",E40)),-H40,
ISNUMBER(SEARCH("Distribution: Other (Provide explanation in far-left column)",E40)),-H40,
ISNUMBER(SEARCH("Distribution: Realized Gain / (Loss) - Cash (input negative value for loss)",E40)),-H40,
ISNUMBER(SEARCH("Distribution: Realized Gain / (Loss) - Stock (input negative value for loss)",E40)),-H40,
ISNUMBER(SEARCH("Distribution: Return of Capital - Cash",E40)),-H40,
ISNUMBER(SEARCH("Distribution: Return of Capital - Stock",E40)),-H40,
ISNUMBER(SEARCH("Distribution: From NAV-Based Facility",E40)),-H40,
ISNUMBER(SEARCH("Negative Contribution: Return of Excess Capital Called",E40)),-H40,
ISNUMBER(SEARCH("Negative Contribution: Return of Excess Capital Called - Investments",E40)),-H40,
ISNUMBER(SEARCH("Negative Contribution: Return of Excess Capital Called - Management Fees/Partnership Expenses",E40)),-H40,
ISNUMBER(SEARCH("Distribution: Subsequent Close Interest",E40)),-H40,
ISNUMBER(SEARCH("Distribution: Tax Withheld",E40)),H40,
ISNUMBER(SEARCH("Distribution: Refund of Tax Withheld",E40)),-H40),0)</f>
        <v>0</v>
      </c>
      <c r="L40" s="12"/>
    </row>
    <row r="41" spans="2:12" ht="15" customHeight="1" x14ac:dyDescent="0.2">
      <c r="B41" s="111"/>
      <c r="C41" s="112"/>
      <c r="D41" s="113"/>
      <c r="E41" s="111"/>
      <c r="F41" s="112"/>
      <c r="G41" s="113"/>
      <c r="H41" s="51"/>
      <c r="I41" s="52"/>
      <c r="J41" s="53" t="str" cm="1">
        <f t="array" ref="J41">IFERROR(_xlfn.IFS(AND(I41="Decrease",H41&lt;0),H41,AND(I41="Decrease",H41&gt;0),-H41,AND(I41="Increase",H41&gt;0),H41,AND(I41="Increase",H41&lt;0),-H41,AND(I41="No Impact",H41=0),"0.00"),"0.00")</f>
        <v>0.00</v>
      </c>
      <c r="K41" s="53" cm="1">
        <f t="array" ref="K41">IFERROR(_xlfn.IFS(
ISNUMBER(SEARCH("Capital call:",E41)),H41,
ISNUMBER(SEARCH("Distribution: Carry",E41)),H41,
ISNUMBER(SEARCH("Distribution: Clawback",E41)),-H41,
ISNUMBER(SEARCH("Distribution: Income",E41)),-H41,
ISNUMBER(SEARCH("Distribution: Dividends",E41)),-H41,
ISNUMBER(SEARCH("Distribution: Other (Provide explanation in far-left column)",E41)),-H41,
ISNUMBER(SEARCH("Distribution: Realized Gain / (Loss) - Cash (input negative value for loss)",E41)),-H41,
ISNUMBER(SEARCH("Distribution: Realized Gain / (Loss) - Stock (input negative value for loss)",E41)),-H41,
ISNUMBER(SEARCH("Distribution: Return of Capital - Cash",E41)),-H41,
ISNUMBER(SEARCH("Distribution: Return of Capital - Stock",E41)),-H41,
ISNUMBER(SEARCH("Distribution: From NAV-Based Facility",E41)),-H41,
ISNUMBER(SEARCH("Negative Contribution: Return of Excess Capital Called",E41)),-H41,
ISNUMBER(SEARCH("Negative Contribution: Return of Excess Capital Called - Investments",E41)),-H41,
ISNUMBER(SEARCH("Negative Contribution: Return of Excess Capital Called - Management Fees/Partnership Expenses",E41)),-H41,
ISNUMBER(SEARCH("Distribution: Subsequent Close Interest",E41)),-H41,
ISNUMBER(SEARCH("Distribution: Tax Withheld",E41)),H41,
ISNUMBER(SEARCH("Distribution: Refund of Tax Withheld",E41)),-H41),0)</f>
        <v>0</v>
      </c>
      <c r="L41" s="12"/>
    </row>
    <row r="42" spans="2:12" ht="15" customHeight="1" x14ac:dyDescent="0.2">
      <c r="B42" s="111"/>
      <c r="C42" s="112"/>
      <c r="D42" s="113"/>
      <c r="E42" s="111"/>
      <c r="F42" s="112"/>
      <c r="G42" s="113"/>
      <c r="H42" s="51"/>
      <c r="I42" s="52"/>
      <c r="J42" s="53" t="str" cm="1">
        <f t="array" ref="J42">IFERROR(_xlfn.IFS(AND(I42="Decrease",H42&lt;0),H42,AND(I42="Decrease",H42&gt;0),-H42,AND(I42="Increase",H42&gt;0),H42,AND(I42="Increase",H42&lt;0),-H42,AND(I42="No Impact",H42=0),"0.00"),"0.00")</f>
        <v>0.00</v>
      </c>
      <c r="K42" s="53" cm="1">
        <f t="array" ref="K42">IFERROR(_xlfn.IFS(
ISNUMBER(SEARCH("Capital call:",E42)),H42,
ISNUMBER(SEARCH("Distribution: Carry",E42)),H42,
ISNUMBER(SEARCH("Distribution: Clawback",E42)),-H42,
ISNUMBER(SEARCH("Distribution: Income",E42)),-H42,
ISNUMBER(SEARCH("Distribution: Dividends",E42)),-H42,
ISNUMBER(SEARCH("Distribution: Other (Provide explanation in far-left column)",E42)),-H42,
ISNUMBER(SEARCH("Distribution: Realized Gain / (Loss) - Cash (input negative value for loss)",E42)),-H42,
ISNUMBER(SEARCH("Distribution: Realized Gain / (Loss) - Stock (input negative value for loss)",E42)),-H42,
ISNUMBER(SEARCH("Distribution: Return of Capital - Cash",E42)),-H42,
ISNUMBER(SEARCH("Distribution: Return of Capital - Stock",E42)),-H42,
ISNUMBER(SEARCH("Distribution: From NAV-Based Facility",E42)),-H42,
ISNUMBER(SEARCH("Negative Contribution: Return of Excess Capital Called",E42)),-H42,
ISNUMBER(SEARCH("Negative Contribution: Return of Excess Capital Called - Investments",E42)),-H42,
ISNUMBER(SEARCH("Negative Contribution: Return of Excess Capital Called - Management Fees/Partnership Expenses",E42)),-H42,
ISNUMBER(SEARCH("Distribution: Subsequent Close Interest",E42)),-H42,
ISNUMBER(SEARCH("Distribution: Tax Withheld",E42)),H42,
ISNUMBER(SEARCH("Distribution: Refund of Tax Withheld",E42)),-H42),0)</f>
        <v>0</v>
      </c>
      <c r="L42" s="12"/>
    </row>
    <row r="43" spans="2:12" ht="15" customHeight="1" x14ac:dyDescent="0.2">
      <c r="B43" s="111"/>
      <c r="C43" s="112"/>
      <c r="D43" s="113"/>
      <c r="E43" s="111"/>
      <c r="F43" s="112"/>
      <c r="G43" s="113"/>
      <c r="H43" s="51"/>
      <c r="I43" s="52"/>
      <c r="J43" s="53" t="str" cm="1">
        <f t="array" ref="J43">IFERROR(_xlfn.IFS(AND(I43="Decrease",H43&lt;0),H43,AND(I43="Decrease",H43&gt;0),-H43,AND(I43="Increase",H43&gt;0),H43,AND(I43="Increase",H43&lt;0),-H43,AND(I43="No Impact",H43=0),"0.00"),"0.00")</f>
        <v>0.00</v>
      </c>
      <c r="K43" s="53" cm="1">
        <f t="array" ref="K43">IFERROR(_xlfn.IFS(
ISNUMBER(SEARCH("Capital call:",E43)),H43,
ISNUMBER(SEARCH("Distribution: Carry",E43)),H43,
ISNUMBER(SEARCH("Distribution: Clawback",E43)),-H43,
ISNUMBER(SEARCH("Distribution: Income",E43)),-H43,
ISNUMBER(SEARCH("Distribution: Dividends",E43)),-H43,
ISNUMBER(SEARCH("Distribution: Other (Provide explanation in far-left column)",E43)),-H43,
ISNUMBER(SEARCH("Distribution: Realized Gain / (Loss) - Cash (input negative value for loss)",E43)),-H43,
ISNUMBER(SEARCH("Distribution: Realized Gain / (Loss) - Stock (input negative value for loss)",E43)),-H43,
ISNUMBER(SEARCH("Distribution: Return of Capital - Cash",E43)),-H43,
ISNUMBER(SEARCH("Distribution: Return of Capital - Stock",E43)),-H43,
ISNUMBER(SEARCH("Distribution: From NAV-Based Facility",E43)),-H43,
ISNUMBER(SEARCH("Negative Contribution: Return of Excess Capital Called",E43)),-H43,
ISNUMBER(SEARCH("Negative Contribution: Return of Excess Capital Called - Investments",E43)),-H43,
ISNUMBER(SEARCH("Negative Contribution: Return of Excess Capital Called - Management Fees/Partnership Expenses",E43)),-H43,
ISNUMBER(SEARCH("Distribution: Subsequent Close Interest",E43)),-H43,
ISNUMBER(SEARCH("Distribution: Tax Withheld",E43)),H43,
ISNUMBER(SEARCH("Distribution: Refund of Tax Withheld",E43)),-H43),0)</f>
        <v>0</v>
      </c>
      <c r="L43" s="12"/>
    </row>
    <row r="44" spans="2:12" ht="15" customHeight="1" x14ac:dyDescent="0.2">
      <c r="B44" s="111"/>
      <c r="C44" s="112"/>
      <c r="D44" s="113"/>
      <c r="E44" s="111"/>
      <c r="F44" s="112"/>
      <c r="G44" s="113"/>
      <c r="H44" s="51"/>
      <c r="I44" s="52"/>
      <c r="J44" s="53" t="str" cm="1">
        <f t="array" ref="J44">IFERROR(_xlfn.IFS(AND(I44="Decrease",H44&lt;0),H44,AND(I44="Decrease",H44&gt;0),-H44,AND(I44="Increase",H44&gt;0),H44,AND(I44="Increase",H44&lt;0),-H44,AND(I44="No Impact",H44=0),"0.00"),"0.00")</f>
        <v>0.00</v>
      </c>
      <c r="K44" s="53" cm="1">
        <f t="array" ref="K44">IFERROR(_xlfn.IFS(
ISNUMBER(SEARCH("Capital call:",E44)),H44,
ISNUMBER(SEARCH("Distribution: Carry",E44)),H44,
ISNUMBER(SEARCH("Distribution: Clawback",E44)),-H44,
ISNUMBER(SEARCH("Distribution: Income",E44)),-H44,
ISNUMBER(SEARCH("Distribution: Dividends",E44)),-H44,
ISNUMBER(SEARCH("Distribution: Other (Provide explanation in far-left column)",E44)),-H44,
ISNUMBER(SEARCH("Distribution: Realized Gain / (Loss) - Cash (input negative value for loss)",E44)),-H44,
ISNUMBER(SEARCH("Distribution: Realized Gain / (Loss) - Stock (input negative value for loss)",E44)),-H44,
ISNUMBER(SEARCH("Distribution: Return of Capital - Cash",E44)),-H44,
ISNUMBER(SEARCH("Distribution: Return of Capital - Stock",E44)),-H44,
ISNUMBER(SEARCH("Distribution: From NAV-Based Facility",E44)),-H44,
ISNUMBER(SEARCH("Negative Contribution: Return of Excess Capital Called",E44)),-H44,
ISNUMBER(SEARCH("Negative Contribution: Return of Excess Capital Called - Investments",E44)),-H44,
ISNUMBER(SEARCH("Negative Contribution: Return of Excess Capital Called - Management Fees/Partnership Expenses",E44)),-H44,
ISNUMBER(SEARCH("Distribution: Subsequent Close Interest",E44)),-H44,
ISNUMBER(SEARCH("Distribution: Tax Withheld",E44)),H44,
ISNUMBER(SEARCH("Distribution: Refund of Tax Withheld",E44)),-H44),0)</f>
        <v>0</v>
      </c>
      <c r="L44" s="12"/>
    </row>
    <row r="45" spans="2:12" ht="15" customHeight="1" x14ac:dyDescent="0.2">
      <c r="B45" s="111"/>
      <c r="C45" s="112"/>
      <c r="D45" s="113"/>
      <c r="E45" s="111"/>
      <c r="F45" s="112"/>
      <c r="G45" s="113"/>
      <c r="H45" s="51"/>
      <c r="I45" s="52"/>
      <c r="J45" s="53" t="str" cm="1">
        <f t="array" ref="J45">IFERROR(_xlfn.IFS(AND(I45="Decrease",H45&lt;0),H45,AND(I45="Decrease",H45&gt;0),-H45,AND(I45="Increase",H45&gt;0),H45,AND(I45="Increase",H45&lt;0),-H45,AND(I45="No Impact",H45=0),"0.00"),"0.00")</f>
        <v>0.00</v>
      </c>
      <c r="K45" s="53" cm="1">
        <f t="array" ref="K45">IFERROR(_xlfn.IFS(
ISNUMBER(SEARCH("Capital call:",E45)),H45,
ISNUMBER(SEARCH("Distribution: Carry",E45)),H45,
ISNUMBER(SEARCH("Distribution: Clawback",E45)),-H45,
ISNUMBER(SEARCH("Distribution: Income",E45)),-H45,
ISNUMBER(SEARCH("Distribution: Dividends",E45)),-H45,
ISNUMBER(SEARCH("Distribution: Other (Provide explanation in far-left column)",E45)),-H45,
ISNUMBER(SEARCH("Distribution: Realized Gain / (Loss) - Cash (input negative value for loss)",E45)),-H45,
ISNUMBER(SEARCH("Distribution: Realized Gain / (Loss) - Stock (input negative value for loss)",E45)),-H45,
ISNUMBER(SEARCH("Distribution: Return of Capital - Cash",E45)),-H45,
ISNUMBER(SEARCH("Distribution: Return of Capital - Stock",E45)),-H45,
ISNUMBER(SEARCH("Distribution: From NAV-Based Facility",E45)),-H45,
ISNUMBER(SEARCH("Negative Contribution: Return of Excess Capital Called",E45)),-H45,
ISNUMBER(SEARCH("Negative Contribution: Return of Excess Capital Called - Investments",E45)),-H45,
ISNUMBER(SEARCH("Negative Contribution: Return of Excess Capital Called - Management Fees/Partnership Expenses",E45)),-H45,
ISNUMBER(SEARCH("Distribution: Subsequent Close Interest",E45)),-H45,
ISNUMBER(SEARCH("Distribution: Tax Withheld",E45)),H45,
ISNUMBER(SEARCH("Distribution: Refund of Tax Withheld",E45)),-H45),0)</f>
        <v>0</v>
      </c>
      <c r="L45" s="12"/>
    </row>
    <row r="46" spans="2:12" ht="15" customHeight="1" x14ac:dyDescent="0.2">
      <c r="B46" s="111"/>
      <c r="C46" s="112"/>
      <c r="D46" s="113"/>
      <c r="E46" s="111"/>
      <c r="F46" s="112"/>
      <c r="G46" s="113"/>
      <c r="H46" s="51"/>
      <c r="I46" s="52"/>
      <c r="J46" s="53" t="str" cm="1">
        <f t="array" ref="J46">IFERROR(_xlfn.IFS(AND(I46="Decrease",H46&lt;0),H46,AND(I46="Decrease",H46&gt;0),-H46,AND(I46="Increase",H46&gt;0),H46,AND(I46="Increase",H46&lt;0),-H46,AND(I46="No Impact",H46=0),"0.00"),"0.00")</f>
        <v>0.00</v>
      </c>
      <c r="K46" s="53" cm="1">
        <f t="array" ref="K46">IFERROR(_xlfn.IFS(
ISNUMBER(SEARCH("Capital call:",E46)),H46,
ISNUMBER(SEARCH("Distribution: Carry",E46)),H46,
ISNUMBER(SEARCH("Distribution: Clawback",E46)),-H46,
ISNUMBER(SEARCH("Distribution: Income",E46)),-H46,
ISNUMBER(SEARCH("Distribution: Dividends",E46)),-H46,
ISNUMBER(SEARCH("Distribution: Other (Provide explanation in far-left column)",E46)),-H46,
ISNUMBER(SEARCH("Distribution: Realized Gain / (Loss) - Cash (input negative value for loss)",E46)),-H46,
ISNUMBER(SEARCH("Distribution: Realized Gain / (Loss) - Stock (input negative value for loss)",E46)),-H46,
ISNUMBER(SEARCH("Distribution: Return of Capital - Cash",E46)),-H46,
ISNUMBER(SEARCH("Distribution: Return of Capital - Stock",E46)),-H46,
ISNUMBER(SEARCH("Distribution: From NAV-Based Facility",E46)),-H46,
ISNUMBER(SEARCH("Negative Contribution: Return of Excess Capital Called",E46)),-H46,
ISNUMBER(SEARCH("Negative Contribution: Return of Excess Capital Called - Investments",E46)),-H46,
ISNUMBER(SEARCH("Negative Contribution: Return of Excess Capital Called - Management Fees/Partnership Expenses",E46)),-H46,
ISNUMBER(SEARCH("Distribution: Subsequent Close Interest",E46)),-H46,
ISNUMBER(SEARCH("Distribution: Tax Withheld",E46)),H46,
ISNUMBER(SEARCH("Distribution: Refund of Tax Withheld",E46)),-H46),0)</f>
        <v>0</v>
      </c>
      <c r="L46" s="12"/>
    </row>
    <row r="47" spans="2:12" ht="15" customHeight="1" x14ac:dyDescent="0.2">
      <c r="B47" s="111"/>
      <c r="C47" s="112"/>
      <c r="D47" s="113"/>
      <c r="E47" s="111"/>
      <c r="F47" s="112"/>
      <c r="G47" s="113"/>
      <c r="H47" s="51"/>
      <c r="I47" s="52"/>
      <c r="J47" s="53" t="str" cm="1">
        <f t="array" ref="J47">IFERROR(_xlfn.IFS(AND(I47="Decrease",H47&lt;0),H47,AND(I47="Decrease",H47&gt;0),-H47,AND(I47="Increase",H47&gt;0),H47,AND(I47="Increase",H47&lt;0),-H47,AND(I47="No Impact",H47=0),"0.00"),"0.00")</f>
        <v>0.00</v>
      </c>
      <c r="K47" s="53" cm="1">
        <f t="array" ref="K47">IFERROR(_xlfn.IFS(
ISNUMBER(SEARCH("Capital call:",E47)),H47,
ISNUMBER(SEARCH("Distribution: Carry",E47)),H47,
ISNUMBER(SEARCH("Distribution: Clawback",E47)),-H47,
ISNUMBER(SEARCH("Distribution: Income",E47)),-H47,
ISNUMBER(SEARCH("Distribution: Dividends",E47)),-H47,
ISNUMBER(SEARCH("Distribution: Other (Provide explanation in far-left column)",E47)),-H47,
ISNUMBER(SEARCH("Distribution: Realized Gain / (Loss) - Cash (input negative value for loss)",E47)),-H47,
ISNUMBER(SEARCH("Distribution: Realized Gain / (Loss) - Stock (input negative value for loss)",E47)),-H47,
ISNUMBER(SEARCH("Distribution: Return of Capital - Cash",E47)),-H47,
ISNUMBER(SEARCH("Distribution: Return of Capital - Stock",E47)),-H47,
ISNUMBER(SEARCH("Distribution: From NAV-Based Facility",E47)),-H47,
ISNUMBER(SEARCH("Negative Contribution: Return of Excess Capital Called",E47)),-H47,
ISNUMBER(SEARCH("Negative Contribution: Return of Excess Capital Called - Investments",E47)),-H47,
ISNUMBER(SEARCH("Negative Contribution: Return of Excess Capital Called - Management Fees/Partnership Expenses",E47)),-H47,
ISNUMBER(SEARCH("Distribution: Subsequent Close Interest",E47)),-H47,
ISNUMBER(SEARCH("Distribution: Tax Withheld",E47)),H47,
ISNUMBER(SEARCH("Distribution: Refund of Tax Withheld",E47)),-H47),0)</f>
        <v>0</v>
      </c>
      <c r="L47" s="12"/>
    </row>
    <row r="48" spans="2:12" ht="15" customHeight="1" x14ac:dyDescent="0.2">
      <c r="B48" s="111"/>
      <c r="C48" s="112"/>
      <c r="D48" s="113"/>
      <c r="E48" s="111"/>
      <c r="F48" s="112"/>
      <c r="G48" s="113"/>
      <c r="H48" s="51"/>
      <c r="I48" s="52"/>
      <c r="J48" s="53" t="str" cm="1">
        <f t="array" ref="J48">IFERROR(_xlfn.IFS(AND(I48="Decrease",H48&lt;0),H48,AND(I48="Decrease",H48&gt;0),-H48,AND(I48="Increase",H48&gt;0),H48,AND(I48="Increase",H48&lt;0),-H48,AND(I48="No Impact",H48=0),"0.00"),"0.00")</f>
        <v>0.00</v>
      </c>
      <c r="K48" s="53" cm="1">
        <f t="array" ref="K48">IFERROR(_xlfn.IFS(
ISNUMBER(SEARCH("Capital call:",E48)),H48,
ISNUMBER(SEARCH("Distribution: Carry",E48)),H48,
ISNUMBER(SEARCH("Distribution: Clawback",E48)),-H48,
ISNUMBER(SEARCH("Distribution: Income",E48)),-H48,
ISNUMBER(SEARCH("Distribution: Dividends",E48)),-H48,
ISNUMBER(SEARCH("Distribution: Other (Provide explanation in far-left column)",E48)),-H48,
ISNUMBER(SEARCH("Distribution: Realized Gain / (Loss) - Cash (input negative value for loss)",E48)),-H48,
ISNUMBER(SEARCH("Distribution: Realized Gain / (Loss) - Stock (input negative value for loss)",E48)),-H48,
ISNUMBER(SEARCH("Distribution: Return of Capital - Cash",E48)),-H48,
ISNUMBER(SEARCH("Distribution: Return of Capital - Stock",E48)),-H48,
ISNUMBER(SEARCH("Distribution: From NAV-Based Facility",E48)),-H48,
ISNUMBER(SEARCH("Negative Contribution: Return of Excess Capital Called",E48)),-H48,
ISNUMBER(SEARCH("Negative Contribution: Return of Excess Capital Called - Investments",E48)),-H48,
ISNUMBER(SEARCH("Negative Contribution: Return of Excess Capital Called - Management Fees/Partnership Expenses",E48)),-H48,
ISNUMBER(SEARCH("Distribution: Subsequent Close Interest",E48)),-H48,
ISNUMBER(SEARCH("Distribution: Tax Withheld",E48)),H48,
ISNUMBER(SEARCH("Distribution: Refund of Tax Withheld",E48)),-H48),0)</f>
        <v>0</v>
      </c>
      <c r="L48" s="12"/>
    </row>
    <row r="49" spans="2:13" ht="15" customHeight="1" x14ac:dyDescent="0.2">
      <c r="B49" s="111"/>
      <c r="C49" s="112"/>
      <c r="D49" s="113"/>
      <c r="E49" s="111"/>
      <c r="F49" s="112"/>
      <c r="G49" s="113"/>
      <c r="H49" s="51"/>
      <c r="I49" s="52"/>
      <c r="J49" s="53" t="str" cm="1">
        <f t="array" ref="J49">IFERROR(_xlfn.IFS(AND(I49="Decrease",H49&lt;0),H49,AND(I49="Decrease",H49&gt;0),-H49,AND(I49="Increase",H49&gt;0),H49,AND(I49="Increase",H49&lt;0),-H49,AND(I49="No Impact",H49=0),"0.00"),"0.00")</f>
        <v>0.00</v>
      </c>
      <c r="K49" s="53" cm="1">
        <f t="array" ref="K49">IFERROR(_xlfn.IFS(
ISNUMBER(SEARCH("Capital call:",E49)),H49,
ISNUMBER(SEARCH("Distribution: Carry",E49)),H49,
ISNUMBER(SEARCH("Distribution: Clawback",E49)),-H49,
ISNUMBER(SEARCH("Distribution: Income",E49)),-H49,
ISNUMBER(SEARCH("Distribution: Dividends",E49)),-H49,
ISNUMBER(SEARCH("Distribution: Other (Provide explanation in far-left column)",E49)),-H49,
ISNUMBER(SEARCH("Distribution: Realized Gain / (Loss) - Cash (input negative value for loss)",E49)),-H49,
ISNUMBER(SEARCH("Distribution: Realized Gain / (Loss) - Stock (input negative value for loss)",E49)),-H49,
ISNUMBER(SEARCH("Distribution: Return of Capital - Cash",E49)),-H49,
ISNUMBER(SEARCH("Distribution: Return of Capital - Stock",E49)),-H49,
ISNUMBER(SEARCH("Distribution: From NAV-Based Facility",E49)),-H49,
ISNUMBER(SEARCH("Negative Contribution: Return of Excess Capital Called",E49)),-H49,
ISNUMBER(SEARCH("Negative Contribution: Return of Excess Capital Called - Investments",E49)),-H49,
ISNUMBER(SEARCH("Negative Contribution: Return of Excess Capital Called - Management Fees/Partnership Expenses",E49)),-H49,
ISNUMBER(SEARCH("Distribution: Subsequent Close Interest",E49)),-H49,
ISNUMBER(SEARCH("Distribution: Tax Withheld",E49)),H49,
ISNUMBER(SEARCH("Distribution: Refund of Tax Withheld",E49)),-H49),0)</f>
        <v>0</v>
      </c>
      <c r="L49" s="12"/>
    </row>
    <row r="50" spans="2:13" ht="15" customHeight="1" x14ac:dyDescent="0.2">
      <c r="B50" s="111"/>
      <c r="C50" s="112"/>
      <c r="D50" s="113"/>
      <c r="E50" s="111"/>
      <c r="F50" s="112"/>
      <c r="G50" s="113"/>
      <c r="H50" s="51"/>
      <c r="I50" s="52"/>
      <c r="J50" s="53" t="str" cm="1">
        <f t="array" ref="J50">IFERROR(_xlfn.IFS(AND(I50="Decrease",H50&lt;0),H50,AND(I50="Decrease",H50&gt;0),-H50,AND(I50="Increase",H50&gt;0),H50,AND(I50="Increase",H50&lt;0),-H50,AND(I50="No Impact",H50=0),"0.00"),"0.00")</f>
        <v>0.00</v>
      </c>
      <c r="K50" s="53" cm="1">
        <f t="array" ref="K50">IFERROR(_xlfn.IFS(
ISNUMBER(SEARCH("Capital call:",E50)),H50,
ISNUMBER(SEARCH("Distribution: Carry",E50)),H50,
ISNUMBER(SEARCH("Distribution: Clawback",E50)),-H50,
ISNUMBER(SEARCH("Distribution: Income",E50)),-H50,
ISNUMBER(SEARCH("Distribution: Dividends",E50)),-H50,
ISNUMBER(SEARCH("Distribution: Other (Provide explanation in far-left column)",E50)),-H50,
ISNUMBER(SEARCH("Distribution: Realized Gain / (Loss) - Cash (input negative value for loss)",E50)),-H50,
ISNUMBER(SEARCH("Distribution: Realized Gain / (Loss) - Stock (input negative value for loss)",E50)),-H50,
ISNUMBER(SEARCH("Distribution: Return of Capital - Cash",E50)),-H50,
ISNUMBER(SEARCH("Distribution: Return of Capital - Stock",E50)),-H50,
ISNUMBER(SEARCH("Distribution: From NAV-Based Facility",E50)),-H50,
ISNUMBER(SEARCH("Negative Contribution: Return of Excess Capital Called",E50)),-H50,
ISNUMBER(SEARCH("Negative Contribution: Return of Excess Capital Called - Investments",E50)),-H50,
ISNUMBER(SEARCH("Negative Contribution: Return of Excess Capital Called - Management Fees/Partnership Expenses",E50)),-H50,
ISNUMBER(SEARCH("Distribution: Subsequent Close Interest",E50)),-H50,
ISNUMBER(SEARCH("Distribution: Tax Withheld",E50)),H50,
ISNUMBER(SEARCH("Distribution: Refund of Tax Withheld",E50)),-H50),0)</f>
        <v>0</v>
      </c>
      <c r="L50" s="12"/>
    </row>
    <row r="51" spans="2:13" ht="15" customHeight="1" x14ac:dyDescent="0.2">
      <c r="B51" s="111"/>
      <c r="C51" s="112"/>
      <c r="D51" s="113"/>
      <c r="E51" s="111"/>
      <c r="F51" s="112"/>
      <c r="G51" s="113"/>
      <c r="H51" s="51"/>
      <c r="I51" s="52"/>
      <c r="J51" s="53" t="str" cm="1">
        <f t="array" ref="J51">IFERROR(_xlfn.IFS(AND(I51="Decrease",H51&lt;0),H51,AND(I51="Decrease",H51&gt;0),-H51,AND(I51="Increase",H51&gt;0),H51,AND(I51="Increase",H51&lt;0),-H51,AND(I51="No Impact",H51=0),"0.00"),"0.00")</f>
        <v>0.00</v>
      </c>
      <c r="K51" s="53" cm="1">
        <f t="array" ref="K51">IFERROR(_xlfn.IFS(
ISNUMBER(SEARCH("Capital call:",E51)),H51,
ISNUMBER(SEARCH("Distribution: Carry",E51)),H51,
ISNUMBER(SEARCH("Distribution: Clawback",E51)),-H51,
ISNUMBER(SEARCH("Distribution: Income",E51)),-H51,
ISNUMBER(SEARCH("Distribution: Dividends",E51)),-H51,
ISNUMBER(SEARCH("Distribution: Other (Provide explanation in far-left column)",E51)),-H51,
ISNUMBER(SEARCH("Distribution: Realized Gain / (Loss) - Cash (input negative value for loss)",E51)),-H51,
ISNUMBER(SEARCH("Distribution: Realized Gain / (Loss) - Stock (input negative value for loss)",E51)),-H51,
ISNUMBER(SEARCH("Distribution: Return of Capital - Cash",E51)),-H51,
ISNUMBER(SEARCH("Distribution: Return of Capital - Stock",E51)),-H51,
ISNUMBER(SEARCH("Distribution: From NAV-Based Facility",E51)),-H51,
ISNUMBER(SEARCH("Negative Contribution: Return of Excess Capital Called",E51)),-H51,
ISNUMBER(SEARCH("Negative Contribution: Return of Excess Capital Called - Investments",E51)),-H51,
ISNUMBER(SEARCH("Negative Contribution: Return of Excess Capital Called - Management Fees/Partnership Expenses",E51)),-H51,
ISNUMBER(SEARCH("Distribution: Subsequent Close Interest",E51)),-H51,
ISNUMBER(SEARCH("Distribution: Tax Withheld",E51)),H51,
ISNUMBER(SEARCH("Distribution: Refund of Tax Withheld",E51)),-H51),0)</f>
        <v>0</v>
      </c>
      <c r="L51" s="12"/>
    </row>
    <row r="52" spans="2:13" ht="15" customHeight="1" x14ac:dyDescent="0.2">
      <c r="B52" s="111"/>
      <c r="C52" s="112"/>
      <c r="D52" s="113"/>
      <c r="E52" s="111"/>
      <c r="F52" s="112"/>
      <c r="G52" s="113"/>
      <c r="H52" s="51"/>
      <c r="I52" s="52"/>
      <c r="J52" s="53" t="str" cm="1">
        <f t="array" ref="J52">IFERROR(_xlfn.IFS(AND(I52="Decrease",H52&lt;0),H52,AND(I52="Decrease",H52&gt;0),-H52,AND(I52="Increase",H52&gt;0),H52,AND(I52="Increase",H52&lt;0),-H52,AND(I52="No Impact",H52=0),"0.00"),"0.00")</f>
        <v>0.00</v>
      </c>
      <c r="K52" s="53" cm="1">
        <f t="array" ref="K52">IFERROR(_xlfn.IFS(
ISNUMBER(SEARCH("Capital call:",E52)),H52,
ISNUMBER(SEARCH("Distribution: Carry",E52)),H52,
ISNUMBER(SEARCH("Distribution: Clawback",E52)),-H52,
ISNUMBER(SEARCH("Distribution: Income",E52)),-H52,
ISNUMBER(SEARCH("Distribution: Dividends",E52)),-H52,
ISNUMBER(SEARCH("Distribution: Other (Provide explanation in far-left column)",E52)),-H52,
ISNUMBER(SEARCH("Distribution: Realized Gain / (Loss) - Cash (input negative value for loss)",E52)),-H52,
ISNUMBER(SEARCH("Distribution: Realized Gain / (Loss) - Stock (input negative value for loss)",E52)),-H52,
ISNUMBER(SEARCH("Distribution: Return of Capital - Cash",E52)),-H52,
ISNUMBER(SEARCH("Distribution: Return of Capital - Stock",E52)),-H52,
ISNUMBER(SEARCH("Distribution: From NAV-Based Facility",E52)),-H52,
ISNUMBER(SEARCH("Negative Contribution: Return of Excess Capital Called",E52)),-H52,
ISNUMBER(SEARCH("Negative Contribution: Return of Excess Capital Called - Investments",E52)),-H52,
ISNUMBER(SEARCH("Negative Contribution: Return of Excess Capital Called - Management Fees/Partnership Expenses",E52)),-H52,
ISNUMBER(SEARCH("Distribution: Subsequent Close Interest",E52)),-H52,
ISNUMBER(SEARCH("Distribution: Tax Withheld",E52)),H52,
ISNUMBER(SEARCH("Distribution: Refund of Tax Withheld",E52)),-H52),0)</f>
        <v>0</v>
      </c>
      <c r="L52" s="12"/>
    </row>
    <row r="53" spans="2:13" ht="15" customHeight="1" x14ac:dyDescent="0.2">
      <c r="B53" s="111"/>
      <c r="C53" s="112"/>
      <c r="D53" s="113"/>
      <c r="E53" s="111"/>
      <c r="F53" s="112"/>
      <c r="G53" s="113"/>
      <c r="H53" s="51"/>
      <c r="I53" s="52"/>
      <c r="J53" s="53" t="str" cm="1">
        <f t="array" ref="J53">IFERROR(_xlfn.IFS(AND(I53="Decrease",H53&lt;0),H53,AND(I53="Decrease",H53&gt;0),-H53,AND(I53="Increase",H53&gt;0),H53,AND(I53="Increase",H53&lt;0),-H53,AND(I53="No Impact",H53=0),"0.00"),"0.00")</f>
        <v>0.00</v>
      </c>
      <c r="K53" s="53" cm="1">
        <f t="array" ref="K53">IFERROR(_xlfn.IFS(
ISNUMBER(SEARCH("Capital call:",E53)),H53,
ISNUMBER(SEARCH("Distribution: Carry",E53)),H53,
ISNUMBER(SEARCH("Distribution: Clawback",E53)),-H53,
ISNUMBER(SEARCH("Distribution: Income",E53)),-H53,
ISNUMBER(SEARCH("Distribution: Dividends",E53)),-H53,
ISNUMBER(SEARCH("Distribution: Other (Provide explanation in far-left column)",E53)),-H53,
ISNUMBER(SEARCH("Distribution: Realized Gain / (Loss) - Cash (input negative value for loss)",E53)),-H53,
ISNUMBER(SEARCH("Distribution: Realized Gain / (Loss) - Stock (input negative value for loss)",E53)),-H53,
ISNUMBER(SEARCH("Distribution: Return of Capital - Cash",E53)),-H53,
ISNUMBER(SEARCH("Distribution: Return of Capital - Stock",E53)),-H53,
ISNUMBER(SEARCH("Distribution: From NAV-Based Facility",E53)),-H53,
ISNUMBER(SEARCH("Negative Contribution: Return of Excess Capital Called",E53)),-H53,
ISNUMBER(SEARCH("Negative Contribution: Return of Excess Capital Called - Investments",E53)),-H53,
ISNUMBER(SEARCH("Negative Contribution: Return of Excess Capital Called - Management Fees/Partnership Expenses",E53)),-H53,
ISNUMBER(SEARCH("Distribution: Subsequent Close Interest",E53)),-H53,
ISNUMBER(SEARCH("Distribution: Tax Withheld",E53)),H53,
ISNUMBER(SEARCH("Distribution: Refund of Tax Withheld",E53)),-H53),0)</f>
        <v>0</v>
      </c>
      <c r="L53" s="12"/>
    </row>
    <row r="54" spans="2:13" ht="12.75" x14ac:dyDescent="0.2">
      <c r="D54" s="54"/>
      <c r="E54" s="54"/>
      <c r="F54" s="54"/>
      <c r="G54" s="54"/>
      <c r="H54" s="54"/>
    </row>
    <row r="55" spans="2:13" ht="12.75" x14ac:dyDescent="0.2">
      <c r="D55" s="54"/>
      <c r="E55" s="54"/>
      <c r="F55" s="54"/>
      <c r="G55" s="54"/>
      <c r="H55" s="54"/>
    </row>
    <row r="56" spans="2:13" ht="15.75" x14ac:dyDescent="0.25">
      <c r="B56" s="16" t="s">
        <v>110</v>
      </c>
      <c r="D56" s="54"/>
      <c r="E56" s="54"/>
      <c r="F56" s="54"/>
      <c r="G56" s="54"/>
      <c r="H56" s="54"/>
    </row>
    <row r="57" spans="2:13" ht="15" customHeight="1" x14ac:dyDescent="0.2">
      <c r="D57" s="14"/>
      <c r="E57" s="14"/>
      <c r="F57" s="14"/>
      <c r="G57" s="14"/>
      <c r="H57" s="14"/>
      <c r="I57" s="14"/>
      <c r="J57" s="14"/>
      <c r="K57" s="80"/>
      <c r="L57" s="80"/>
    </row>
    <row r="58" spans="2:13" ht="15" customHeight="1" thickBot="1" x14ac:dyDescent="0.25">
      <c r="B58" s="115" t="s">
        <v>117</v>
      </c>
      <c r="C58" s="115"/>
      <c r="D58" s="115"/>
      <c r="E58" s="115"/>
      <c r="F58" s="115"/>
      <c r="G58" s="115"/>
      <c r="H58" s="115"/>
      <c r="I58" s="115"/>
      <c r="J58" s="127" t="s">
        <v>141</v>
      </c>
      <c r="K58" s="127"/>
      <c r="L58" s="127"/>
      <c r="M58" s="127"/>
    </row>
    <row r="59" spans="2:13" ht="15" customHeight="1" x14ac:dyDescent="0.2">
      <c r="B59" s="3" t="s">
        <v>77</v>
      </c>
      <c r="C59" s="116"/>
      <c r="D59" s="116"/>
      <c r="E59" s="116"/>
      <c r="F59" s="116"/>
      <c r="G59" s="116"/>
      <c r="H59" s="116"/>
      <c r="I59" s="116"/>
      <c r="K59" s="82" t="s">
        <v>119</v>
      </c>
      <c r="L59" s="83"/>
      <c r="M59" s="79"/>
    </row>
    <row r="60" spans="2:13" ht="15" customHeight="1" x14ac:dyDescent="0.2">
      <c r="B60" s="3" t="s">
        <v>81</v>
      </c>
      <c r="C60" s="112"/>
      <c r="D60" s="112"/>
      <c r="E60" s="112"/>
      <c r="F60" s="112"/>
      <c r="G60" s="112"/>
      <c r="H60" s="112"/>
      <c r="I60" s="112"/>
      <c r="K60" s="4" t="s">
        <v>120</v>
      </c>
      <c r="L60" s="81"/>
      <c r="M60" s="79"/>
    </row>
    <row r="61" spans="2:13" ht="15" customHeight="1" x14ac:dyDescent="0.2">
      <c r="B61" s="3" t="s">
        <v>78</v>
      </c>
      <c r="C61" s="117"/>
      <c r="D61" s="117"/>
      <c r="E61" s="117"/>
      <c r="F61" s="117"/>
      <c r="G61" s="117"/>
      <c r="H61" s="117"/>
      <c r="I61" s="117"/>
      <c r="K61" s="4" t="s">
        <v>121</v>
      </c>
      <c r="L61" s="81"/>
      <c r="M61" s="79"/>
    </row>
    <row r="62" spans="2:13" ht="15" customHeight="1" x14ac:dyDescent="0.2">
      <c r="B62" s="3" t="s">
        <v>79</v>
      </c>
      <c r="C62" s="117"/>
      <c r="D62" s="117"/>
      <c r="E62" s="117"/>
      <c r="F62" s="117"/>
      <c r="G62" s="117"/>
      <c r="H62" s="117"/>
      <c r="I62" s="117"/>
      <c r="K62" s="4" t="s">
        <v>122</v>
      </c>
      <c r="L62" s="81"/>
      <c r="M62" s="79"/>
    </row>
    <row r="63" spans="2:13" ht="15" customHeight="1" x14ac:dyDescent="0.2">
      <c r="B63" s="3" t="s">
        <v>80</v>
      </c>
      <c r="C63" s="117"/>
      <c r="D63" s="117"/>
      <c r="E63" s="117"/>
      <c r="F63" s="117"/>
      <c r="G63" s="117"/>
      <c r="H63" s="117"/>
      <c r="I63" s="117"/>
    </row>
    <row r="64" spans="2:13" ht="15" customHeight="1" x14ac:dyDescent="0.2">
      <c r="B64" s="3" t="s">
        <v>113</v>
      </c>
      <c r="C64" s="117"/>
      <c r="D64" s="117"/>
      <c r="E64" s="117"/>
      <c r="F64" s="117"/>
      <c r="G64" s="117"/>
      <c r="H64" s="117"/>
      <c r="I64" s="117"/>
    </row>
    <row r="67" spans="2:9" ht="15" customHeight="1" thickBot="1" x14ac:dyDescent="0.25">
      <c r="B67" s="115" t="s">
        <v>118</v>
      </c>
      <c r="C67" s="115"/>
      <c r="D67" s="115"/>
      <c r="E67" s="115"/>
      <c r="F67" s="115"/>
      <c r="G67" s="115"/>
      <c r="H67" s="115"/>
      <c r="I67" s="115"/>
    </row>
    <row r="68" spans="2:9" ht="15" customHeight="1" x14ac:dyDescent="0.2">
      <c r="B68" s="9"/>
      <c r="C68" s="114" t="s">
        <v>84</v>
      </c>
      <c r="D68" s="114"/>
      <c r="E68" s="15" t="s">
        <v>85</v>
      </c>
      <c r="F68" s="114" t="s">
        <v>86</v>
      </c>
      <c r="G68" s="114"/>
      <c r="H68" s="114" t="s">
        <v>87</v>
      </c>
      <c r="I68" s="114"/>
    </row>
    <row r="69" spans="2:9" ht="15" customHeight="1" x14ac:dyDescent="0.2">
      <c r="B69" s="3" t="s">
        <v>82</v>
      </c>
      <c r="C69" s="119"/>
      <c r="D69" s="119"/>
      <c r="E69" s="57"/>
      <c r="F69" s="119"/>
      <c r="G69" s="119"/>
      <c r="H69" s="119"/>
      <c r="I69" s="119"/>
    </row>
    <row r="70" spans="2:9" ht="15" customHeight="1" x14ac:dyDescent="0.2">
      <c r="B70" s="3" t="s">
        <v>83</v>
      </c>
      <c r="C70" s="112"/>
      <c r="D70" s="112"/>
      <c r="E70" s="57"/>
      <c r="F70" s="112"/>
      <c r="G70" s="112"/>
      <c r="H70" s="112"/>
      <c r="I70" s="112"/>
    </row>
    <row r="71" spans="2:9" ht="15" customHeight="1" x14ac:dyDescent="0.2">
      <c r="B71" s="3" t="s">
        <v>111</v>
      </c>
      <c r="C71" s="117"/>
      <c r="D71" s="117"/>
      <c r="E71" s="58"/>
      <c r="F71" s="117"/>
      <c r="G71" s="117"/>
      <c r="H71" s="117"/>
      <c r="I71" s="117"/>
    </row>
    <row r="72" spans="2:9" ht="15" customHeight="1" x14ac:dyDescent="0.2">
      <c r="B72" s="3" t="s">
        <v>112</v>
      </c>
      <c r="C72" s="117"/>
      <c r="D72" s="117"/>
      <c r="E72" s="58"/>
      <c r="F72" s="117"/>
      <c r="G72" s="117"/>
      <c r="H72" s="117"/>
      <c r="I72" s="117"/>
    </row>
    <row r="73" spans="2:9" ht="15" customHeight="1" x14ac:dyDescent="0.2">
      <c r="B73" s="3" t="s">
        <v>114</v>
      </c>
      <c r="C73" s="117"/>
      <c r="D73" s="117"/>
      <c r="E73" s="58"/>
      <c r="F73" s="117"/>
      <c r="G73" s="117"/>
      <c r="H73" s="117"/>
      <c r="I73" s="117"/>
    </row>
    <row r="74" spans="2:9" ht="15" customHeight="1" x14ac:dyDescent="0.2">
      <c r="B74" s="3" t="s">
        <v>115</v>
      </c>
      <c r="C74" s="117"/>
      <c r="D74" s="117"/>
      <c r="E74" s="58"/>
      <c r="F74" s="117"/>
      <c r="G74" s="117"/>
      <c r="H74" s="117"/>
      <c r="I74" s="117"/>
    </row>
    <row r="75" spans="2:9" ht="15" customHeight="1" x14ac:dyDescent="0.2">
      <c r="B75" s="3"/>
      <c r="C75" s="50"/>
      <c r="D75" s="50"/>
      <c r="E75" s="50"/>
      <c r="F75" s="50"/>
      <c r="G75" s="50"/>
      <c r="H75" s="50"/>
      <c r="I75" s="50"/>
    </row>
    <row r="76" spans="2:9" ht="15" customHeight="1" x14ac:dyDescent="0.2">
      <c r="B76" s="3"/>
      <c r="C76" s="50"/>
      <c r="D76" s="50"/>
      <c r="E76" s="50"/>
      <c r="F76" s="50"/>
      <c r="G76" s="50"/>
      <c r="H76" s="50"/>
      <c r="I76" s="50"/>
    </row>
    <row r="77" spans="2:9" ht="15" customHeight="1" thickBot="1" x14ac:dyDescent="0.25">
      <c r="B77" s="115" t="s">
        <v>104</v>
      </c>
      <c r="C77" s="115"/>
      <c r="D77" s="115"/>
      <c r="E77" s="115"/>
      <c r="F77" s="115"/>
      <c r="G77" s="115"/>
      <c r="H77" s="115"/>
      <c r="I77" s="115"/>
    </row>
    <row r="78" spans="2:9" ht="15" customHeight="1" x14ac:dyDescent="0.2">
      <c r="B78" s="3" t="s">
        <v>116</v>
      </c>
      <c r="C78" s="126"/>
      <c r="D78" s="126"/>
      <c r="E78" s="64"/>
      <c r="F78" s="126"/>
      <c r="G78" s="126"/>
      <c r="H78" s="126"/>
      <c r="I78" s="126"/>
    </row>
    <row r="79" spans="2:9" ht="15" customHeight="1" x14ac:dyDescent="0.2">
      <c r="B79" s="3" t="s">
        <v>105</v>
      </c>
      <c r="C79" s="117"/>
      <c r="D79" s="117"/>
      <c r="E79" s="44"/>
      <c r="F79" s="117"/>
      <c r="G79" s="117"/>
      <c r="H79" s="117"/>
      <c r="I79" s="117"/>
    </row>
    <row r="80" spans="2:9" ht="15" customHeight="1" x14ac:dyDescent="0.2">
      <c r="B80" s="3" t="s">
        <v>106</v>
      </c>
      <c r="C80" s="117"/>
      <c r="D80" s="117"/>
      <c r="E80" s="44"/>
      <c r="F80" s="117"/>
      <c r="G80" s="117"/>
      <c r="H80" s="117"/>
      <c r="I80" s="117"/>
    </row>
    <row r="81" spans="2:9" ht="15" customHeight="1" x14ac:dyDescent="0.2">
      <c r="B81" s="3"/>
      <c r="C81" s="50"/>
      <c r="D81" s="50"/>
      <c r="E81" s="50"/>
      <c r="F81" s="50"/>
      <c r="G81" s="50"/>
      <c r="H81" s="50"/>
      <c r="I81" s="50"/>
    </row>
    <row r="82" spans="2:9" ht="15" customHeight="1" x14ac:dyDescent="0.2">
      <c r="B82" s="3"/>
      <c r="C82" s="50"/>
      <c r="D82" s="50"/>
      <c r="E82" s="50"/>
      <c r="F82" s="50"/>
      <c r="G82" s="50"/>
      <c r="H82" s="50"/>
      <c r="I82" s="50"/>
    </row>
    <row r="83" spans="2:9" ht="15" customHeight="1" thickBot="1" x14ac:dyDescent="0.25">
      <c r="B83" s="115" t="s">
        <v>148</v>
      </c>
      <c r="C83" s="115"/>
      <c r="D83" s="115"/>
      <c r="E83" s="115"/>
      <c r="F83" s="115"/>
      <c r="G83" s="115"/>
      <c r="H83" s="115"/>
      <c r="I83" s="115"/>
    </row>
    <row r="84" spans="2:9" ht="15" customHeight="1" x14ac:dyDescent="0.2">
      <c r="B84" s="3" t="s">
        <v>107</v>
      </c>
      <c r="C84" s="126"/>
      <c r="D84" s="126"/>
      <c r="E84" s="126"/>
      <c r="F84" s="126"/>
      <c r="G84" s="126"/>
      <c r="H84" s="126"/>
      <c r="I84" s="126"/>
    </row>
    <row r="85" spans="2:9" ht="15" customHeight="1" x14ac:dyDescent="0.2">
      <c r="B85" s="3" t="s">
        <v>108</v>
      </c>
      <c r="C85" s="117"/>
      <c r="D85" s="117"/>
      <c r="E85" s="65"/>
      <c r="F85" s="135"/>
      <c r="G85" s="135"/>
      <c r="H85" s="135"/>
      <c r="I85" s="135"/>
    </row>
    <row r="86" spans="2:9" ht="15" customHeight="1" x14ac:dyDescent="0.2">
      <c r="B86" s="3" t="s">
        <v>109</v>
      </c>
      <c r="C86" s="117"/>
      <c r="D86" s="117"/>
      <c r="E86" s="65"/>
      <c r="F86" s="135"/>
      <c r="G86" s="135"/>
      <c r="H86" s="135"/>
      <c r="I86" s="135"/>
    </row>
    <row r="87" spans="2:9" ht="15" customHeight="1" x14ac:dyDescent="0.2">
      <c r="B87" s="3" t="s">
        <v>90</v>
      </c>
      <c r="C87" s="117"/>
      <c r="D87" s="117"/>
      <c r="E87" s="65"/>
      <c r="F87" s="135"/>
      <c r="G87" s="135"/>
      <c r="H87" s="135"/>
      <c r="I87" s="135"/>
    </row>
    <row r="88" spans="2:9" ht="15" customHeight="1" x14ac:dyDescent="0.2">
      <c r="B88" s="3" t="s">
        <v>91</v>
      </c>
      <c r="C88" s="117"/>
      <c r="D88" s="117"/>
      <c r="E88" s="117"/>
      <c r="F88" s="117"/>
      <c r="G88" s="117"/>
      <c r="H88" s="117"/>
      <c r="I88" s="117"/>
    </row>
    <row r="89" spans="2:9" ht="15" customHeight="1" x14ac:dyDescent="0.2">
      <c r="B89" s="3"/>
      <c r="C89" s="47"/>
      <c r="D89" s="47"/>
      <c r="E89" s="47"/>
      <c r="F89" s="47"/>
      <c r="G89" s="47"/>
      <c r="H89" s="47"/>
      <c r="I89" s="47"/>
    </row>
    <row r="91" spans="2:9" ht="15" customHeight="1" thickBot="1" x14ac:dyDescent="0.25">
      <c r="B91" s="2" t="s">
        <v>123</v>
      </c>
      <c r="D91" s="10"/>
    </row>
    <row r="92" spans="2:9" ht="93" customHeight="1" thickBot="1" x14ac:dyDescent="0.25">
      <c r="B92" s="128"/>
      <c r="C92" s="129"/>
      <c r="D92" s="129"/>
      <c r="E92" s="129"/>
      <c r="F92" s="129"/>
      <c r="G92" s="129"/>
      <c r="H92" s="129"/>
      <c r="I92" s="130"/>
    </row>
    <row r="93" spans="2:9" ht="15" customHeight="1" x14ac:dyDescent="0.2">
      <c r="B93" s="66"/>
      <c r="C93" s="66"/>
      <c r="D93" s="66"/>
      <c r="E93" s="66"/>
      <c r="F93" s="66"/>
      <c r="G93" s="66"/>
      <c r="H93" s="66"/>
      <c r="I93" s="66"/>
    </row>
    <row r="95" spans="2:9" ht="15" customHeight="1" x14ac:dyDescent="0.2">
      <c r="B95" s="56" t="str">
        <f>'Suggested Guidance'!B22</f>
        <v>ILPA Capital Call &amp; Distribution Template (v. 2.0) – This packet was last updated on September 10, 2025</v>
      </c>
    </row>
    <row r="97" spans="2:2" ht="15" customHeight="1" x14ac:dyDescent="0.2">
      <c r="B97" s="11" t="str">
        <f>'Suggested Guidance'!B24</f>
        <v>© 2025 Institutional Limited Partners Association.  All rights reserved.</v>
      </c>
    </row>
  </sheetData>
  <mergeCells count="132">
    <mergeCell ref="J58:M58"/>
    <mergeCell ref="B92:I92"/>
    <mergeCell ref="B58:I58"/>
    <mergeCell ref="F20:H20"/>
    <mergeCell ref="F3:H3"/>
    <mergeCell ref="C74:D74"/>
    <mergeCell ref="F74:G74"/>
    <mergeCell ref="H74:I74"/>
    <mergeCell ref="H69:I69"/>
    <mergeCell ref="H70:I70"/>
    <mergeCell ref="H71:I71"/>
    <mergeCell ref="H72:I72"/>
    <mergeCell ref="H73:I73"/>
    <mergeCell ref="H85:I85"/>
    <mergeCell ref="H86:I86"/>
    <mergeCell ref="H87:I87"/>
    <mergeCell ref="C84:I84"/>
    <mergeCell ref="C88:I88"/>
    <mergeCell ref="F85:G85"/>
    <mergeCell ref="F86:G86"/>
    <mergeCell ref="F87:G87"/>
    <mergeCell ref="C85:D85"/>
    <mergeCell ref="C86:D86"/>
    <mergeCell ref="C87:D87"/>
    <mergeCell ref="B30:D30"/>
    <mergeCell ref="E30:G30"/>
    <mergeCell ref="B83:I83"/>
    <mergeCell ref="C78:D78"/>
    <mergeCell ref="C79:D79"/>
    <mergeCell ref="C80:D80"/>
    <mergeCell ref="F78:G78"/>
    <mergeCell ref="F79:G79"/>
    <mergeCell ref="F80:G80"/>
    <mergeCell ref="H80:I80"/>
    <mergeCell ref="H79:I79"/>
    <mergeCell ref="H78:I78"/>
    <mergeCell ref="B77:I77"/>
    <mergeCell ref="C69:D69"/>
    <mergeCell ref="C70:D70"/>
    <mergeCell ref="C71:D71"/>
    <mergeCell ref="C72:D72"/>
    <mergeCell ref="C73:D73"/>
    <mergeCell ref="F69:G69"/>
    <mergeCell ref="F70:G70"/>
    <mergeCell ref="F71:G71"/>
    <mergeCell ref="F72:G72"/>
    <mergeCell ref="F73:G73"/>
    <mergeCell ref="B31:D31"/>
    <mergeCell ref="B25:D25"/>
    <mergeCell ref="E25:G25"/>
    <mergeCell ref="B26:D26"/>
    <mergeCell ref="E26:G26"/>
    <mergeCell ref="B27:D27"/>
    <mergeCell ref="E27:G27"/>
    <mergeCell ref="B28:D28"/>
    <mergeCell ref="E28:G28"/>
    <mergeCell ref="B29:D29"/>
    <mergeCell ref="E29:G29"/>
    <mergeCell ref="F8:H8"/>
    <mergeCell ref="C3:D3"/>
    <mergeCell ref="C4:D4"/>
    <mergeCell ref="C5:D5"/>
    <mergeCell ref="C10:D10"/>
    <mergeCell ref="C6:D6"/>
    <mergeCell ref="B24:D24"/>
    <mergeCell ref="E24:G24"/>
    <mergeCell ref="C11:D11"/>
    <mergeCell ref="C16:D16"/>
    <mergeCell ref="C17:D17"/>
    <mergeCell ref="C18:D18"/>
    <mergeCell ref="F15:H15"/>
    <mergeCell ref="C19:D19"/>
    <mergeCell ref="C20:D20"/>
    <mergeCell ref="B23:D23"/>
    <mergeCell ref="E23:G23"/>
    <mergeCell ref="C12:D12"/>
    <mergeCell ref="C13:D13"/>
    <mergeCell ref="E31:G31"/>
    <mergeCell ref="B32:D32"/>
    <mergeCell ref="E32:G32"/>
    <mergeCell ref="B33:D33"/>
    <mergeCell ref="E33:G33"/>
    <mergeCell ref="B34:D34"/>
    <mergeCell ref="E34:G34"/>
    <mergeCell ref="B35:D35"/>
    <mergeCell ref="E35:G35"/>
    <mergeCell ref="B36:D36"/>
    <mergeCell ref="E36:G36"/>
    <mergeCell ref="B37:D37"/>
    <mergeCell ref="E37:G37"/>
    <mergeCell ref="B38:D38"/>
    <mergeCell ref="E38:G38"/>
    <mergeCell ref="B39:D39"/>
    <mergeCell ref="E39:G39"/>
    <mergeCell ref="B40:D40"/>
    <mergeCell ref="E40:G40"/>
    <mergeCell ref="B41:D41"/>
    <mergeCell ref="E41:G41"/>
    <mergeCell ref="B42:D42"/>
    <mergeCell ref="E42:G42"/>
    <mergeCell ref="B43:D43"/>
    <mergeCell ref="E43:G43"/>
    <mergeCell ref="B44:D44"/>
    <mergeCell ref="E44:G44"/>
    <mergeCell ref="B45:D45"/>
    <mergeCell ref="E45:G45"/>
    <mergeCell ref="B46:D46"/>
    <mergeCell ref="E46:G46"/>
    <mergeCell ref="B47:D47"/>
    <mergeCell ref="E47:G47"/>
    <mergeCell ref="B48:D48"/>
    <mergeCell ref="E48:G48"/>
    <mergeCell ref="B49:D49"/>
    <mergeCell ref="E49:G49"/>
    <mergeCell ref="B50:D50"/>
    <mergeCell ref="E50:G50"/>
    <mergeCell ref="B51:D51"/>
    <mergeCell ref="E51:G51"/>
    <mergeCell ref="B52:D52"/>
    <mergeCell ref="E52:G52"/>
    <mergeCell ref="B53:D53"/>
    <mergeCell ref="E53:G53"/>
    <mergeCell ref="H68:I68"/>
    <mergeCell ref="C68:D68"/>
    <mergeCell ref="F68:G68"/>
    <mergeCell ref="B67:I67"/>
    <mergeCell ref="C59:I59"/>
    <mergeCell ref="C60:I60"/>
    <mergeCell ref="C61:I61"/>
    <mergeCell ref="C62:I62"/>
    <mergeCell ref="C63:I63"/>
    <mergeCell ref="C64:I64"/>
  </mergeCells>
  <pageMargins left="0.6" right="0.6" top="1" bottom="0.75" header="0.3" footer="0.3"/>
  <pageSetup scale="37" fitToHeight="0" orientation="landscape" r:id="rId1"/>
  <headerFooter>
    <oddHeader>&amp;L&amp;G&amp;C&amp;"Arial,Regular"ILPA Capital Call and Distribution Template (v. 2.0)
Core Template</oddHeader>
  </headerFooter>
  <legacyDrawingHF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7C44AC61-3DCF-411B-9C77-A9602F3AAFC3}">
          <x14:formula1>
            <xm:f>'Trans. Types &amp; Definitions'!$C$3:$C$5</xm:f>
          </x14:formula1>
          <xm:sqref>I24:I53</xm:sqref>
        </x14:dataValidation>
        <x14:dataValidation type="list" allowBlank="1" showInputMessage="1" showErrorMessage="1" xr:uid="{84F3A37B-30FE-4532-9BF2-D1C853F57C48}">
          <x14:formula1>
            <xm:f>'Trans. Types &amp; Definitions'!$D$3:$D$4</xm:f>
          </x14:formula1>
          <xm:sqref>L24:L53</xm:sqref>
        </x14:dataValidation>
        <x14:dataValidation type="list" allowBlank="1" showInputMessage="1" showErrorMessage="1" xr:uid="{987CD4BF-BCB9-4A6D-8260-007AE6055EA6}">
          <x14:formula1>
            <xm:f>'Trans. Types &amp; Definitions'!$A$3:$A$29</xm:f>
          </x14:formula1>
          <xm:sqref>E24:G53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45B1D-61AC-4273-9F22-27774B970D69}">
  <dimension ref="A2:D34"/>
  <sheetViews>
    <sheetView showGridLines="0" zoomScale="60" zoomScaleNormal="60" workbookViewId="0">
      <pane ySplit="2" topLeftCell="A3" activePane="bottomLeft" state="frozen"/>
      <selection pane="bottomLeft"/>
    </sheetView>
  </sheetViews>
  <sheetFormatPr defaultColWidth="8.7109375" defaultRowHeight="14.25" x14ac:dyDescent="0.2"/>
  <cols>
    <col min="1" max="1" width="87.140625" style="25" customWidth="1"/>
    <col min="2" max="2" width="160.7109375" style="26" customWidth="1"/>
    <col min="3" max="4" width="8.7109375" style="55" hidden="1" customWidth="1"/>
    <col min="5" max="16384" width="8.7109375" style="55"/>
  </cols>
  <sheetData>
    <row r="2" spans="1:4" x14ac:dyDescent="0.2">
      <c r="A2" s="19" t="s">
        <v>15</v>
      </c>
      <c r="B2" s="20" t="s">
        <v>0</v>
      </c>
      <c r="C2" s="55" t="s">
        <v>17</v>
      </c>
      <c r="D2" s="55" t="s">
        <v>73</v>
      </c>
    </row>
    <row r="3" spans="1:4" ht="14.25" customHeight="1" x14ac:dyDescent="0.2">
      <c r="A3" s="17" t="s">
        <v>37</v>
      </c>
      <c r="B3" s="18" t="s">
        <v>55</v>
      </c>
      <c r="C3" s="55" t="s">
        <v>31</v>
      </c>
      <c r="D3" s="55" t="s">
        <v>74</v>
      </c>
    </row>
    <row r="4" spans="1:4" ht="14.25" customHeight="1" x14ac:dyDescent="0.2">
      <c r="A4" s="17" t="s">
        <v>68</v>
      </c>
      <c r="B4" s="23" t="s">
        <v>99</v>
      </c>
      <c r="C4" s="55" t="s">
        <v>32</v>
      </c>
      <c r="D4" s="55" t="s">
        <v>75</v>
      </c>
    </row>
    <row r="5" spans="1:4" ht="14.25" customHeight="1" x14ac:dyDescent="0.2">
      <c r="A5" s="17" t="s">
        <v>69</v>
      </c>
      <c r="B5" s="23" t="s">
        <v>147</v>
      </c>
      <c r="C5" s="55" t="s">
        <v>36</v>
      </c>
    </row>
    <row r="6" spans="1:4" ht="14.25" customHeight="1" x14ac:dyDescent="0.2">
      <c r="A6" s="17" t="s">
        <v>1</v>
      </c>
      <c r="B6" s="23" t="s">
        <v>95</v>
      </c>
    </row>
    <row r="7" spans="1:4" ht="42.75" customHeight="1" x14ac:dyDescent="0.2">
      <c r="A7" s="21" t="s">
        <v>76</v>
      </c>
      <c r="B7" s="24" t="s">
        <v>93</v>
      </c>
    </row>
    <row r="8" spans="1:4" ht="51" x14ac:dyDescent="0.2">
      <c r="A8" s="17" t="s">
        <v>6</v>
      </c>
      <c r="B8" s="23" t="s">
        <v>96</v>
      </c>
    </row>
    <row r="9" spans="1:4" ht="57" customHeight="1" x14ac:dyDescent="0.2">
      <c r="A9" s="21" t="s">
        <v>7</v>
      </c>
      <c r="B9" s="24" t="s">
        <v>124</v>
      </c>
    </row>
    <row r="10" spans="1:4" ht="28.5" customHeight="1" x14ac:dyDescent="0.2">
      <c r="A10" s="17" t="s">
        <v>38</v>
      </c>
      <c r="B10" s="22" t="s">
        <v>145</v>
      </c>
    </row>
    <row r="11" spans="1:4" ht="42.75" customHeight="1" x14ac:dyDescent="0.2">
      <c r="A11" s="21" t="s">
        <v>2</v>
      </c>
      <c r="B11" s="24" t="s">
        <v>97</v>
      </c>
    </row>
    <row r="12" spans="1:4" x14ac:dyDescent="0.2">
      <c r="A12" s="21" t="s">
        <v>3</v>
      </c>
      <c r="B12" s="24" t="s">
        <v>56</v>
      </c>
    </row>
    <row r="13" spans="1:4" ht="14.25" customHeight="1" x14ac:dyDescent="0.2">
      <c r="A13" s="21" t="s">
        <v>41</v>
      </c>
      <c r="B13" s="22" t="s">
        <v>125</v>
      </c>
    </row>
    <row r="14" spans="1:4" ht="14.25" customHeight="1" x14ac:dyDescent="0.2">
      <c r="A14" s="17" t="s">
        <v>39</v>
      </c>
      <c r="B14" s="23" t="s">
        <v>98</v>
      </c>
    </row>
    <row r="15" spans="1:4" ht="14.25" customHeight="1" x14ac:dyDescent="0.2">
      <c r="A15" s="17" t="s">
        <v>8</v>
      </c>
      <c r="B15" s="23" t="s">
        <v>57</v>
      </c>
    </row>
    <row r="16" spans="1:4" ht="14.25" customHeight="1" x14ac:dyDescent="0.2">
      <c r="A16" s="17" t="s">
        <v>42</v>
      </c>
      <c r="B16" s="18" t="s">
        <v>58</v>
      </c>
    </row>
    <row r="17" spans="1:2" ht="14.25" customHeight="1" x14ac:dyDescent="0.2">
      <c r="A17" s="17" t="s">
        <v>43</v>
      </c>
      <c r="B17" s="18" t="s">
        <v>59</v>
      </c>
    </row>
    <row r="18" spans="1:2" ht="14.25" customHeight="1" x14ac:dyDescent="0.2">
      <c r="A18" s="17" t="s">
        <v>40</v>
      </c>
      <c r="B18" s="22" t="s">
        <v>126</v>
      </c>
    </row>
    <row r="19" spans="1:2" ht="14.25" customHeight="1" x14ac:dyDescent="0.2">
      <c r="A19" s="17" t="s">
        <v>49</v>
      </c>
      <c r="B19" s="23" t="s">
        <v>60</v>
      </c>
    </row>
    <row r="20" spans="1:2" ht="14.25" customHeight="1" x14ac:dyDescent="0.2">
      <c r="A20" s="17" t="s">
        <v>50</v>
      </c>
      <c r="B20" s="23" t="s">
        <v>63</v>
      </c>
    </row>
    <row r="21" spans="1:2" ht="14.25" customHeight="1" x14ac:dyDescent="0.2">
      <c r="A21" s="17" t="s">
        <v>44</v>
      </c>
      <c r="B21" s="18" t="s">
        <v>61</v>
      </c>
    </row>
    <row r="22" spans="1:2" ht="14.25" customHeight="1" x14ac:dyDescent="0.2">
      <c r="A22" s="17" t="s">
        <v>45</v>
      </c>
      <c r="B22" s="18" t="s">
        <v>62</v>
      </c>
    </row>
    <row r="23" spans="1:2" ht="14.25" customHeight="1" x14ac:dyDescent="0.2">
      <c r="A23" s="21" t="s">
        <v>65</v>
      </c>
      <c r="B23" s="24" t="s">
        <v>64</v>
      </c>
    </row>
    <row r="24" spans="1:2" x14ac:dyDescent="0.2">
      <c r="A24" s="17" t="s">
        <v>136</v>
      </c>
      <c r="B24" s="23" t="s">
        <v>94</v>
      </c>
    </row>
    <row r="25" spans="1:2" ht="14.25" customHeight="1" x14ac:dyDescent="0.2">
      <c r="A25" s="17" t="s">
        <v>137</v>
      </c>
      <c r="B25" s="18" t="s">
        <v>4</v>
      </c>
    </row>
    <row r="26" spans="1:2" ht="14.25" customHeight="1" x14ac:dyDescent="0.2">
      <c r="A26" s="17" t="s">
        <v>138</v>
      </c>
      <c r="B26" s="18" t="s">
        <v>5</v>
      </c>
    </row>
    <row r="27" spans="1:2" ht="28.5" customHeight="1" x14ac:dyDescent="0.2">
      <c r="A27" s="17" t="s">
        <v>46</v>
      </c>
      <c r="B27" s="22" t="s">
        <v>146</v>
      </c>
    </row>
    <row r="28" spans="1:2" ht="28.5" customHeight="1" x14ac:dyDescent="0.2">
      <c r="A28" s="17" t="s">
        <v>47</v>
      </c>
      <c r="B28" s="22" t="s">
        <v>144</v>
      </c>
    </row>
    <row r="29" spans="1:2" x14ac:dyDescent="0.2">
      <c r="A29" s="17" t="s">
        <v>142</v>
      </c>
      <c r="B29" s="24" t="s">
        <v>100</v>
      </c>
    </row>
    <row r="32" spans="1:2" x14ac:dyDescent="0.2">
      <c r="A32" s="69" t="str">
        <f>'Suggested Guidance'!B22</f>
        <v>ILPA Capital Call &amp; Distribution Template (v. 2.0) – This packet was last updated on September 10, 2025</v>
      </c>
    </row>
    <row r="34" spans="1:1" x14ac:dyDescent="0.2">
      <c r="A34" s="70" t="str">
        <f>'Suggested Guidance'!B24</f>
        <v>© 2025 Institutional Limited Partners Association.  All rights reserved.</v>
      </c>
    </row>
  </sheetData>
  <pageMargins left="0.6" right="0.6" top="1" bottom="0.75" header="0.3" footer="0.3"/>
  <pageSetup scale="37" fitToHeight="0" orientation="landscape" r:id="rId1"/>
  <headerFooter>
    <oddHeader>&amp;L&amp;G&amp;C&amp;"Arial,Regular"ILPA Capital Call and Distribution Template (v. 2.0)
Transaction Types &amp; Definitions</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DF2FA-FE32-4CAD-A7B6-5BD8A766E7A9}">
  <dimension ref="B1:J134"/>
  <sheetViews>
    <sheetView showGridLines="0" zoomScale="60" zoomScaleNormal="60" zoomScalePageLayoutView="80" workbookViewId="0"/>
  </sheetViews>
  <sheetFormatPr defaultColWidth="9.28515625" defaultRowHeight="15" customHeight="1" x14ac:dyDescent="0.25"/>
  <cols>
    <col min="1" max="1" width="2.28515625" style="91" customWidth="1"/>
    <col min="2" max="2" width="11.28515625" style="98" bestFit="1" customWidth="1"/>
    <col min="3" max="3" width="68.42578125" style="91" customWidth="1"/>
    <col min="4" max="4" width="100.7109375" style="91" customWidth="1"/>
    <col min="5" max="10" width="15.7109375" style="91" customWidth="1"/>
    <col min="11" max="16384" width="9.28515625" style="91"/>
  </cols>
  <sheetData>
    <row r="1" spans="2:10" s="85" customFormat="1" ht="15" customHeight="1" x14ac:dyDescent="0.25">
      <c r="B1" s="84"/>
    </row>
    <row r="2" spans="2:10" s="85" customFormat="1" ht="15" customHeight="1" x14ac:dyDescent="0.2">
      <c r="B2" s="84"/>
      <c r="D2" s="86" t="str">
        <f>'Suggested Guidance'!B22</f>
        <v>ILPA Capital Call &amp; Distribution Template (v. 2.0) – This packet was last updated on September 10, 2025</v>
      </c>
      <c r="E2" s="87"/>
      <c r="F2" s="87"/>
    </row>
    <row r="3" spans="2:10" s="85" customFormat="1" ht="15" customHeight="1" x14ac:dyDescent="0.2">
      <c r="B3" s="84"/>
      <c r="D3" s="137"/>
      <c r="E3" s="137"/>
      <c r="F3" s="137"/>
    </row>
    <row r="4" spans="2:10" s="85" customFormat="1" ht="15" customHeight="1" x14ac:dyDescent="0.25">
      <c r="B4" s="84"/>
    </row>
    <row r="5" spans="2:10" s="88" customFormat="1" ht="15" customHeight="1" x14ac:dyDescent="0.2">
      <c r="B5" s="138" t="s">
        <v>143</v>
      </c>
      <c r="C5" s="138"/>
      <c r="D5" s="138"/>
    </row>
    <row r="6" spans="2:10" ht="15" customHeight="1" x14ac:dyDescent="0.25">
      <c r="B6" s="89"/>
      <c r="C6" s="89"/>
      <c r="D6" s="89"/>
      <c r="E6" s="90"/>
      <c r="F6" s="90"/>
      <c r="G6" s="90"/>
      <c r="H6" s="90"/>
      <c r="I6" s="90"/>
      <c r="J6" s="90"/>
    </row>
    <row r="7" spans="2:10" s="92" customFormat="1" ht="15" customHeight="1" x14ac:dyDescent="0.25">
      <c r="B7" s="136" t="s">
        <v>149</v>
      </c>
      <c r="C7" s="136"/>
      <c r="D7" s="136"/>
    </row>
    <row r="8" spans="2:10" ht="15" customHeight="1" x14ac:dyDescent="0.25">
      <c r="B8" s="136"/>
      <c r="C8" s="136"/>
      <c r="D8" s="136"/>
      <c r="E8" s="90"/>
      <c r="F8" s="90"/>
      <c r="G8" s="90"/>
      <c r="H8" s="90"/>
      <c r="I8" s="90"/>
      <c r="J8" s="90"/>
    </row>
    <row r="9" spans="2:10" ht="15" customHeight="1" x14ac:dyDescent="0.25">
      <c r="B9" s="139"/>
      <c r="C9" s="139"/>
      <c r="D9" s="139"/>
      <c r="E9" s="90"/>
      <c r="F9" s="90"/>
      <c r="G9" s="90"/>
      <c r="H9" s="90"/>
      <c r="I9" s="90"/>
      <c r="J9" s="90"/>
    </row>
    <row r="10" spans="2:10" ht="15" customHeight="1" x14ac:dyDescent="0.25">
      <c r="B10" s="136"/>
      <c r="C10" s="136"/>
      <c r="D10" s="136"/>
      <c r="E10" s="90"/>
      <c r="F10" s="90"/>
      <c r="G10" s="90"/>
      <c r="H10" s="90"/>
      <c r="I10" s="90"/>
      <c r="J10" s="90"/>
    </row>
    <row r="11" spans="2:10" ht="15" customHeight="1" x14ac:dyDescent="0.25">
      <c r="B11" s="140"/>
      <c r="C11" s="140"/>
      <c r="D11" s="140"/>
    </row>
    <row r="12" spans="2:10" ht="15" customHeight="1" x14ac:dyDescent="0.25">
      <c r="B12" s="141"/>
      <c r="C12" s="141"/>
      <c r="D12" s="141"/>
    </row>
    <row r="13" spans="2:10" ht="15" customHeight="1" x14ac:dyDescent="0.25">
      <c r="B13" s="141"/>
      <c r="C13" s="141"/>
      <c r="D13" s="141"/>
    </row>
    <row r="14" spans="2:10" ht="15" customHeight="1" x14ac:dyDescent="0.25">
      <c r="B14" s="136"/>
      <c r="C14" s="136"/>
      <c r="D14" s="136"/>
      <c r="E14" s="90"/>
      <c r="F14" s="90"/>
      <c r="G14" s="90"/>
      <c r="H14" s="90"/>
      <c r="I14" s="90"/>
      <c r="J14" s="90"/>
    </row>
    <row r="15" spans="2:10" ht="15" customHeight="1" x14ac:dyDescent="0.25">
      <c r="B15" s="139"/>
      <c r="C15" s="139"/>
      <c r="D15" s="139"/>
    </row>
    <row r="16" spans="2:10" ht="15" customHeight="1" x14ac:dyDescent="0.25">
      <c r="B16" s="136"/>
      <c r="C16" s="136"/>
      <c r="D16" s="136"/>
    </row>
    <row r="17" spans="2:10" ht="15" customHeight="1" x14ac:dyDescent="0.25">
      <c r="B17" s="140"/>
      <c r="C17" s="140"/>
      <c r="D17" s="140"/>
    </row>
    <row r="18" spans="2:10" ht="15" customHeight="1" x14ac:dyDescent="0.25">
      <c r="B18" s="93"/>
      <c r="C18" s="93"/>
      <c r="D18" s="93"/>
    </row>
    <row r="19" spans="2:10" ht="15" customHeight="1" x14ac:dyDescent="0.25">
      <c r="B19" s="139"/>
      <c r="C19" s="139"/>
      <c r="D19" s="139"/>
    </row>
    <row r="20" spans="2:10" ht="15" customHeight="1" x14ac:dyDescent="0.25">
      <c r="B20" s="136"/>
      <c r="C20" s="136"/>
      <c r="D20" s="136"/>
    </row>
    <row r="21" spans="2:10" ht="15" customHeight="1" x14ac:dyDescent="0.25">
      <c r="B21" s="93"/>
      <c r="C21" s="93"/>
      <c r="D21" s="93"/>
    </row>
    <row r="22" spans="2:10" ht="15" customHeight="1" x14ac:dyDescent="0.25">
      <c r="B22" s="139"/>
      <c r="C22" s="139"/>
      <c r="D22" s="139"/>
    </row>
    <row r="23" spans="2:10" ht="15" customHeight="1" x14ac:dyDescent="0.25">
      <c r="B23" s="136"/>
      <c r="C23" s="136"/>
      <c r="D23" s="136"/>
    </row>
    <row r="24" spans="2:10" ht="15" customHeight="1" x14ac:dyDescent="0.25">
      <c r="B24" s="136"/>
      <c r="C24" s="136"/>
      <c r="D24" s="136"/>
    </row>
    <row r="25" spans="2:10" ht="15" customHeight="1" x14ac:dyDescent="0.25">
      <c r="B25" s="136"/>
      <c r="C25" s="136"/>
      <c r="D25" s="136"/>
    </row>
    <row r="26" spans="2:10" ht="15" customHeight="1" x14ac:dyDescent="0.25">
      <c r="B26" s="142"/>
      <c r="C26" s="142"/>
      <c r="D26" s="142"/>
    </row>
    <row r="27" spans="2:10" ht="15" customHeight="1" x14ac:dyDescent="0.25">
      <c r="B27" s="139"/>
      <c r="C27" s="139"/>
      <c r="D27" s="139"/>
    </row>
    <row r="28" spans="2:10" ht="15" customHeight="1" x14ac:dyDescent="0.25">
      <c r="B28" s="136"/>
      <c r="C28" s="136"/>
      <c r="D28" s="136"/>
      <c r="E28" s="90"/>
      <c r="F28" s="90"/>
      <c r="G28" s="90"/>
      <c r="H28" s="90"/>
      <c r="I28" s="90"/>
      <c r="J28" s="90"/>
    </row>
    <row r="29" spans="2:10" ht="15" customHeight="1" x14ac:dyDescent="0.25">
      <c r="B29" s="136"/>
      <c r="C29" s="136"/>
      <c r="D29" s="136"/>
      <c r="E29" s="90"/>
      <c r="F29" s="90"/>
      <c r="G29" s="90"/>
      <c r="H29" s="90"/>
      <c r="I29" s="90"/>
      <c r="J29" s="90"/>
    </row>
    <row r="30" spans="2:10" ht="15" customHeight="1" x14ac:dyDescent="0.25">
      <c r="B30" s="136"/>
      <c r="C30" s="136"/>
      <c r="D30" s="136"/>
      <c r="E30" s="90"/>
      <c r="F30" s="90"/>
      <c r="G30" s="90"/>
      <c r="H30" s="90"/>
      <c r="I30" s="90"/>
      <c r="J30" s="90"/>
    </row>
    <row r="31" spans="2:10" ht="15" customHeight="1" x14ac:dyDescent="0.25">
      <c r="B31" s="139"/>
      <c r="C31" s="139"/>
      <c r="D31" s="139"/>
      <c r="E31" s="90"/>
      <c r="F31" s="90"/>
      <c r="G31" s="90"/>
      <c r="H31" s="90"/>
      <c r="I31" s="90"/>
      <c r="J31" s="90"/>
    </row>
    <row r="32" spans="2:10" ht="15" customHeight="1" x14ac:dyDescent="0.25">
      <c r="B32" s="136"/>
      <c r="C32" s="136"/>
      <c r="D32" s="136"/>
      <c r="E32" s="90"/>
      <c r="F32" s="90"/>
      <c r="G32" s="90"/>
      <c r="H32" s="90"/>
      <c r="I32" s="90"/>
      <c r="J32" s="90"/>
    </row>
    <row r="33" spans="2:10" ht="15" customHeight="1" x14ac:dyDescent="0.25">
      <c r="B33" s="136"/>
      <c r="C33" s="136"/>
      <c r="D33" s="136"/>
      <c r="E33" s="90"/>
      <c r="F33" s="90"/>
      <c r="G33" s="90"/>
      <c r="H33" s="90"/>
      <c r="I33" s="90"/>
      <c r="J33" s="90"/>
    </row>
    <row r="34" spans="2:10" ht="15" customHeight="1" x14ac:dyDescent="0.25">
      <c r="B34" s="136"/>
      <c r="C34" s="136"/>
      <c r="D34" s="136"/>
      <c r="E34" s="90"/>
      <c r="F34" s="90"/>
      <c r="G34" s="90"/>
      <c r="H34" s="90"/>
      <c r="I34" s="90"/>
      <c r="J34" s="90"/>
    </row>
    <row r="35" spans="2:10" ht="15" customHeight="1" x14ac:dyDescent="0.25">
      <c r="B35" s="136"/>
      <c r="C35" s="136"/>
      <c r="D35" s="136"/>
      <c r="E35" s="90"/>
      <c r="F35" s="90"/>
      <c r="G35" s="90"/>
      <c r="H35" s="90"/>
      <c r="I35" s="90"/>
      <c r="J35" s="90"/>
    </row>
    <row r="36" spans="2:10" ht="15" customHeight="1" x14ac:dyDescent="0.25">
      <c r="B36" s="136"/>
      <c r="C36" s="136"/>
      <c r="D36" s="136"/>
      <c r="E36" s="90"/>
      <c r="F36" s="90"/>
      <c r="G36" s="90"/>
      <c r="H36" s="90"/>
      <c r="I36" s="90"/>
      <c r="J36" s="90"/>
    </row>
    <row r="37" spans="2:10" ht="15" customHeight="1" x14ac:dyDescent="0.25">
      <c r="B37" s="136"/>
      <c r="C37" s="136"/>
      <c r="D37" s="136"/>
      <c r="E37" s="90"/>
      <c r="F37" s="90"/>
      <c r="G37" s="90"/>
      <c r="H37" s="90"/>
      <c r="I37" s="90"/>
      <c r="J37" s="90"/>
    </row>
    <row r="38" spans="2:10" ht="15" customHeight="1" x14ac:dyDescent="0.25">
      <c r="B38" s="94"/>
      <c r="C38" s="143"/>
      <c r="D38" s="143"/>
    </row>
    <row r="39" spans="2:10" ht="15" customHeight="1" x14ac:dyDescent="0.25">
      <c r="B39" s="95"/>
      <c r="C39" s="144"/>
      <c r="D39" s="144"/>
      <c r="E39" s="90"/>
      <c r="F39" s="90"/>
      <c r="G39" s="90"/>
      <c r="H39" s="90"/>
      <c r="I39" s="90"/>
      <c r="J39" s="90"/>
    </row>
    <row r="40" spans="2:10" ht="15" customHeight="1" x14ac:dyDescent="0.25">
      <c r="B40" s="94"/>
      <c r="C40" s="143"/>
      <c r="D40" s="143"/>
    </row>
    <row r="41" spans="2:10" ht="15" customHeight="1" x14ac:dyDescent="0.25">
      <c r="B41" s="95"/>
      <c r="C41" s="144"/>
      <c r="D41" s="144"/>
      <c r="E41" s="90"/>
      <c r="F41" s="90"/>
      <c r="G41" s="90"/>
      <c r="H41" s="90"/>
      <c r="I41" s="90"/>
      <c r="J41" s="90"/>
    </row>
    <row r="42" spans="2:10" ht="15" customHeight="1" x14ac:dyDescent="0.25">
      <c r="B42" s="96"/>
      <c r="C42" s="143"/>
      <c r="D42" s="143"/>
    </row>
    <row r="43" spans="2:10" ht="15" customHeight="1" x14ac:dyDescent="0.25">
      <c r="B43" s="95"/>
      <c r="C43" s="144"/>
      <c r="D43" s="144"/>
      <c r="E43" s="90"/>
      <c r="F43" s="90"/>
      <c r="G43" s="90"/>
      <c r="H43" s="90"/>
      <c r="I43" s="90"/>
      <c r="J43" s="90"/>
    </row>
    <row r="44" spans="2:10" ht="15" customHeight="1" x14ac:dyDescent="0.25">
      <c r="B44" s="94"/>
      <c r="C44" s="145"/>
      <c r="D44" s="145"/>
    </row>
    <row r="45" spans="2:10" ht="15" customHeight="1" x14ac:dyDescent="0.25">
      <c r="B45" s="95"/>
      <c r="C45" s="144"/>
      <c r="D45" s="144"/>
      <c r="E45" s="90"/>
      <c r="F45" s="90"/>
      <c r="G45" s="90"/>
      <c r="H45" s="90"/>
      <c r="I45" s="90"/>
      <c r="J45" s="90"/>
    </row>
    <row r="46" spans="2:10" ht="15" customHeight="1" x14ac:dyDescent="0.25">
      <c r="B46" s="94"/>
      <c r="C46" s="143"/>
      <c r="D46" s="143"/>
    </row>
    <row r="47" spans="2:10" ht="15" customHeight="1" x14ac:dyDescent="0.25">
      <c r="B47" s="95"/>
      <c r="C47" s="144"/>
      <c r="D47" s="144"/>
      <c r="E47" s="90"/>
      <c r="F47" s="90"/>
      <c r="G47" s="90"/>
      <c r="H47" s="90"/>
      <c r="I47" s="90"/>
      <c r="J47" s="90"/>
    </row>
    <row r="48" spans="2:10" ht="15" customHeight="1" x14ac:dyDescent="0.25">
      <c r="B48" s="94"/>
      <c r="C48" s="143"/>
      <c r="D48" s="143"/>
    </row>
    <row r="49" spans="2:10" ht="15" customHeight="1" x14ac:dyDescent="0.25">
      <c r="B49" s="95"/>
      <c r="C49" s="144"/>
      <c r="D49" s="144"/>
      <c r="E49" s="90"/>
      <c r="F49" s="90"/>
      <c r="G49" s="90"/>
      <c r="H49" s="90"/>
      <c r="I49" s="90"/>
      <c r="J49" s="90"/>
    </row>
    <row r="50" spans="2:10" ht="15" customHeight="1" x14ac:dyDescent="0.25">
      <c r="B50" s="94"/>
      <c r="C50" s="143"/>
      <c r="D50" s="143"/>
    </row>
    <row r="51" spans="2:10" ht="15" customHeight="1" x14ac:dyDescent="0.25">
      <c r="B51" s="95"/>
      <c r="C51" s="144"/>
      <c r="D51" s="144"/>
      <c r="E51" s="90"/>
      <c r="F51" s="90"/>
      <c r="G51" s="90"/>
      <c r="H51" s="90"/>
      <c r="I51" s="90"/>
      <c r="J51" s="90"/>
    </row>
    <row r="52" spans="2:10" ht="15" customHeight="1" x14ac:dyDescent="0.25">
      <c r="B52" s="94"/>
      <c r="C52" s="145"/>
      <c r="D52" s="145"/>
    </row>
    <row r="53" spans="2:10" ht="15" customHeight="1" x14ac:dyDescent="0.25">
      <c r="B53" s="97"/>
    </row>
    <row r="54" spans="2:10" ht="15" customHeight="1" x14ac:dyDescent="0.25">
      <c r="B54" s="97"/>
    </row>
    <row r="55" spans="2:10" ht="15" customHeight="1" x14ac:dyDescent="0.25">
      <c r="B55" s="97"/>
    </row>
    <row r="56" spans="2:10" ht="15" customHeight="1" x14ac:dyDescent="0.25">
      <c r="B56" s="97"/>
    </row>
    <row r="57" spans="2:10" ht="15" customHeight="1" x14ac:dyDescent="0.25">
      <c r="B57" s="97"/>
    </row>
    <row r="58" spans="2:10" ht="15" customHeight="1" x14ac:dyDescent="0.25">
      <c r="B58" s="97"/>
    </row>
    <row r="59" spans="2:10" ht="15" customHeight="1" x14ac:dyDescent="0.25">
      <c r="B59" s="97"/>
    </row>
    <row r="60" spans="2:10" ht="15" customHeight="1" x14ac:dyDescent="0.25">
      <c r="B60" s="97"/>
    </row>
    <row r="61" spans="2:10" ht="15" customHeight="1" x14ac:dyDescent="0.25">
      <c r="B61" s="97"/>
    </row>
    <row r="62" spans="2:10" ht="15" customHeight="1" x14ac:dyDescent="0.25">
      <c r="B62" s="97"/>
    </row>
    <row r="63" spans="2:10" ht="15" customHeight="1" x14ac:dyDescent="0.25">
      <c r="B63" s="97"/>
    </row>
    <row r="64" spans="2:10" ht="15" customHeight="1" x14ac:dyDescent="0.25">
      <c r="B64" s="97"/>
    </row>
    <row r="65" spans="2:2" ht="15" customHeight="1" x14ac:dyDescent="0.25">
      <c r="B65" s="97"/>
    </row>
    <row r="66" spans="2:2" ht="15" customHeight="1" x14ac:dyDescent="0.25">
      <c r="B66" s="97"/>
    </row>
    <row r="67" spans="2:2" ht="15" customHeight="1" x14ac:dyDescent="0.25">
      <c r="B67" s="97"/>
    </row>
    <row r="68" spans="2:2" ht="15" customHeight="1" x14ac:dyDescent="0.25">
      <c r="B68" s="97"/>
    </row>
    <row r="69" spans="2:2" ht="15" customHeight="1" x14ac:dyDescent="0.25">
      <c r="B69" s="97"/>
    </row>
    <row r="70" spans="2:2" ht="15" customHeight="1" x14ac:dyDescent="0.25">
      <c r="B70" s="97"/>
    </row>
    <row r="71" spans="2:2" ht="15" customHeight="1" x14ac:dyDescent="0.25">
      <c r="B71" s="97"/>
    </row>
    <row r="72" spans="2:2" ht="15" customHeight="1" x14ac:dyDescent="0.25">
      <c r="B72" s="97"/>
    </row>
    <row r="73" spans="2:2" ht="15" customHeight="1" x14ac:dyDescent="0.25">
      <c r="B73" s="97"/>
    </row>
    <row r="74" spans="2:2" ht="15" customHeight="1" x14ac:dyDescent="0.25">
      <c r="B74" s="97"/>
    </row>
    <row r="75" spans="2:2" ht="15" customHeight="1" x14ac:dyDescent="0.25">
      <c r="B75" s="97"/>
    </row>
    <row r="76" spans="2:2" ht="15" customHeight="1" x14ac:dyDescent="0.25">
      <c r="B76" s="97"/>
    </row>
    <row r="77" spans="2:2" ht="15" customHeight="1" x14ac:dyDescent="0.25">
      <c r="B77" s="97"/>
    </row>
    <row r="78" spans="2:2" ht="15" customHeight="1" x14ac:dyDescent="0.25">
      <c r="B78" s="97"/>
    </row>
    <row r="79" spans="2:2" ht="15" customHeight="1" x14ac:dyDescent="0.25">
      <c r="B79" s="97"/>
    </row>
    <row r="80" spans="2:2" ht="15" customHeight="1" x14ac:dyDescent="0.25">
      <c r="B80" s="97"/>
    </row>
    <row r="81" spans="2:2" ht="15" customHeight="1" x14ac:dyDescent="0.25">
      <c r="B81" s="97"/>
    </row>
    <row r="82" spans="2:2" ht="15" customHeight="1" x14ac:dyDescent="0.25">
      <c r="B82" s="97"/>
    </row>
    <row r="83" spans="2:2" ht="15" customHeight="1" x14ac:dyDescent="0.25">
      <c r="B83" s="97"/>
    </row>
    <row r="84" spans="2:2" ht="15" customHeight="1" x14ac:dyDescent="0.25">
      <c r="B84" s="97"/>
    </row>
    <row r="85" spans="2:2" ht="15" customHeight="1" x14ac:dyDescent="0.25">
      <c r="B85" s="97"/>
    </row>
    <row r="86" spans="2:2" ht="15" customHeight="1" x14ac:dyDescent="0.25">
      <c r="B86" s="97"/>
    </row>
    <row r="87" spans="2:2" ht="15" customHeight="1" x14ac:dyDescent="0.25">
      <c r="B87" s="97"/>
    </row>
    <row r="88" spans="2:2" ht="15" customHeight="1" x14ac:dyDescent="0.25">
      <c r="B88" s="97"/>
    </row>
    <row r="89" spans="2:2" ht="15" customHeight="1" x14ac:dyDescent="0.25">
      <c r="B89" s="97"/>
    </row>
    <row r="90" spans="2:2" ht="15" customHeight="1" x14ac:dyDescent="0.25">
      <c r="B90" s="97"/>
    </row>
    <row r="91" spans="2:2" ht="15" customHeight="1" x14ac:dyDescent="0.25">
      <c r="B91" s="97"/>
    </row>
    <row r="92" spans="2:2" ht="15" customHeight="1" x14ac:dyDescent="0.25">
      <c r="B92" s="97"/>
    </row>
    <row r="93" spans="2:2" ht="15" customHeight="1" x14ac:dyDescent="0.25">
      <c r="B93" s="97"/>
    </row>
    <row r="94" spans="2:2" ht="15" customHeight="1" x14ac:dyDescent="0.25">
      <c r="B94" s="97"/>
    </row>
    <row r="95" spans="2:2" ht="15" customHeight="1" x14ac:dyDescent="0.25">
      <c r="B95" s="97"/>
    </row>
    <row r="96" spans="2:2" ht="15" customHeight="1" x14ac:dyDescent="0.25">
      <c r="B96" s="97"/>
    </row>
    <row r="97" spans="2:2" ht="15" customHeight="1" x14ac:dyDescent="0.25">
      <c r="B97" s="97"/>
    </row>
    <row r="98" spans="2:2" ht="15" customHeight="1" x14ac:dyDescent="0.25">
      <c r="B98" s="97"/>
    </row>
    <row r="99" spans="2:2" ht="15" customHeight="1" x14ac:dyDescent="0.25">
      <c r="B99" s="97"/>
    </row>
    <row r="100" spans="2:2" ht="15" customHeight="1" x14ac:dyDescent="0.25">
      <c r="B100" s="97"/>
    </row>
    <row r="101" spans="2:2" ht="15" customHeight="1" x14ac:dyDescent="0.25">
      <c r="B101" s="97"/>
    </row>
    <row r="102" spans="2:2" ht="15" customHeight="1" x14ac:dyDescent="0.25">
      <c r="B102" s="97"/>
    </row>
    <row r="103" spans="2:2" ht="15" customHeight="1" x14ac:dyDescent="0.25">
      <c r="B103" s="97"/>
    </row>
    <row r="104" spans="2:2" ht="15" customHeight="1" x14ac:dyDescent="0.25">
      <c r="B104" s="97"/>
    </row>
    <row r="105" spans="2:2" ht="15" customHeight="1" x14ac:dyDescent="0.25">
      <c r="B105" s="97"/>
    </row>
    <row r="106" spans="2:2" ht="15" customHeight="1" x14ac:dyDescent="0.25">
      <c r="B106" s="97"/>
    </row>
    <row r="107" spans="2:2" ht="15" customHeight="1" x14ac:dyDescent="0.25">
      <c r="B107" s="97"/>
    </row>
    <row r="108" spans="2:2" ht="15" customHeight="1" x14ac:dyDescent="0.25">
      <c r="B108" s="97"/>
    </row>
    <row r="109" spans="2:2" ht="15" customHeight="1" x14ac:dyDescent="0.25">
      <c r="B109" s="97"/>
    </row>
    <row r="110" spans="2:2" ht="15" customHeight="1" x14ac:dyDescent="0.25">
      <c r="B110" s="97"/>
    </row>
    <row r="111" spans="2:2" ht="15" customHeight="1" x14ac:dyDescent="0.25">
      <c r="B111" s="97"/>
    </row>
    <row r="112" spans="2:2" ht="15" customHeight="1" x14ac:dyDescent="0.25">
      <c r="B112" s="97"/>
    </row>
    <row r="113" spans="2:2" ht="15" customHeight="1" x14ac:dyDescent="0.25">
      <c r="B113" s="97"/>
    </row>
    <row r="114" spans="2:2" ht="15" customHeight="1" x14ac:dyDescent="0.25">
      <c r="B114" s="97"/>
    </row>
    <row r="115" spans="2:2" ht="15" customHeight="1" x14ac:dyDescent="0.25">
      <c r="B115" s="97"/>
    </row>
    <row r="116" spans="2:2" ht="15" customHeight="1" x14ac:dyDescent="0.25">
      <c r="B116" s="97"/>
    </row>
    <row r="117" spans="2:2" ht="15" customHeight="1" x14ac:dyDescent="0.25">
      <c r="B117" s="97"/>
    </row>
    <row r="118" spans="2:2" ht="15" customHeight="1" x14ac:dyDescent="0.25">
      <c r="B118" s="97"/>
    </row>
    <row r="119" spans="2:2" ht="15" customHeight="1" x14ac:dyDescent="0.25">
      <c r="B119" s="97"/>
    </row>
    <row r="120" spans="2:2" ht="15" customHeight="1" x14ac:dyDescent="0.25">
      <c r="B120" s="97"/>
    </row>
    <row r="121" spans="2:2" ht="15" customHeight="1" x14ac:dyDescent="0.25">
      <c r="B121" s="97"/>
    </row>
    <row r="122" spans="2:2" ht="15" customHeight="1" x14ac:dyDescent="0.25">
      <c r="B122" s="97"/>
    </row>
    <row r="123" spans="2:2" ht="15" customHeight="1" x14ac:dyDescent="0.25">
      <c r="B123" s="97"/>
    </row>
    <row r="124" spans="2:2" ht="15" customHeight="1" x14ac:dyDescent="0.25">
      <c r="B124" s="97"/>
    </row>
    <row r="125" spans="2:2" ht="15" customHeight="1" x14ac:dyDescent="0.25">
      <c r="B125" s="97"/>
    </row>
    <row r="126" spans="2:2" ht="15" customHeight="1" x14ac:dyDescent="0.25">
      <c r="B126" s="97"/>
    </row>
    <row r="127" spans="2:2" ht="15" customHeight="1" x14ac:dyDescent="0.25">
      <c r="B127" s="97"/>
    </row>
    <row r="128" spans="2:2" ht="15" customHeight="1" x14ac:dyDescent="0.25">
      <c r="B128" s="97"/>
    </row>
    <row r="129" spans="2:2" ht="15" customHeight="1" x14ac:dyDescent="0.25">
      <c r="B129" s="97"/>
    </row>
    <row r="130" spans="2:2" ht="15" customHeight="1" x14ac:dyDescent="0.25">
      <c r="B130" s="97"/>
    </row>
    <row r="131" spans="2:2" ht="15" customHeight="1" x14ac:dyDescent="0.25">
      <c r="B131" s="97"/>
    </row>
    <row r="132" spans="2:2" ht="15" customHeight="1" x14ac:dyDescent="0.25">
      <c r="B132" s="97"/>
    </row>
    <row r="133" spans="2:2" ht="15" customHeight="1" x14ac:dyDescent="0.25">
      <c r="B133" s="97"/>
    </row>
    <row r="134" spans="2:2" ht="15" customHeight="1" x14ac:dyDescent="0.25">
      <c r="B134" s="97"/>
    </row>
  </sheetData>
  <mergeCells count="46">
    <mergeCell ref="C49:D49"/>
    <mergeCell ref="C50:D50"/>
    <mergeCell ref="C51:D51"/>
    <mergeCell ref="C52:D52"/>
    <mergeCell ref="C43:D43"/>
    <mergeCell ref="C44:D44"/>
    <mergeCell ref="C45:D45"/>
    <mergeCell ref="C46:D46"/>
    <mergeCell ref="C47:D47"/>
    <mergeCell ref="C48:D48"/>
    <mergeCell ref="C42:D42"/>
    <mergeCell ref="B31:D31"/>
    <mergeCell ref="B32:D32"/>
    <mergeCell ref="B33:D33"/>
    <mergeCell ref="B34:D34"/>
    <mergeCell ref="B35:D35"/>
    <mergeCell ref="B36:D36"/>
    <mergeCell ref="B37:D37"/>
    <mergeCell ref="C38:D38"/>
    <mergeCell ref="C39:D39"/>
    <mergeCell ref="C40:D40"/>
    <mergeCell ref="C41:D41"/>
    <mergeCell ref="B30:D30"/>
    <mergeCell ref="B17:D17"/>
    <mergeCell ref="B19:D19"/>
    <mergeCell ref="B20:D20"/>
    <mergeCell ref="B22:D22"/>
    <mergeCell ref="B23:D23"/>
    <mergeCell ref="B24:D24"/>
    <mergeCell ref="B25:D25"/>
    <mergeCell ref="B26:D26"/>
    <mergeCell ref="B27:D27"/>
    <mergeCell ref="B28:D28"/>
    <mergeCell ref="B29:D29"/>
    <mergeCell ref="B16:D16"/>
    <mergeCell ref="D3:F3"/>
    <mergeCell ref="B5:D5"/>
    <mergeCell ref="B7:D7"/>
    <mergeCell ref="B8:D8"/>
    <mergeCell ref="B9:D9"/>
    <mergeCell ref="B10:D10"/>
    <mergeCell ref="B11:D11"/>
    <mergeCell ref="B12:D12"/>
    <mergeCell ref="B13:D13"/>
    <mergeCell ref="B14:D14"/>
    <mergeCell ref="B15:D15"/>
  </mergeCells>
  <printOptions horizontalCentered="1"/>
  <pageMargins left="0.6" right="0.6" top="1" bottom="0.75" header="0.3" footer="0.3"/>
  <pageSetup scale="37" fitToHeight="0" orientation="landscape" r:id="rId1"/>
  <headerFooter>
    <oddHeader>&amp;L&amp;G&amp;C&amp;"Arial,Regular"ILPA Capital Call and Distribution Template (v. 2.0)
Summary of Revisions</oddHead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Suggested Guidance</vt:lpstr>
      <vt:lpstr>Call &amp; Distribution Template</vt:lpstr>
      <vt:lpstr>Trans. Types &amp; Definitions</vt:lpstr>
      <vt:lpstr>Summary of Revisions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Emily Kisak</dc:creator>
  <cp:keywords/>
  <dc:description/>
  <cp:lastModifiedBy>Nicholas Jenson</cp:lastModifiedBy>
  <cp:revision/>
  <cp:lastPrinted>2025-09-09T20:41:15Z</cp:lastPrinted>
  <dcterms:created xsi:type="dcterms:W3CDTF">2024-07-24T18:22:02Z</dcterms:created>
  <dcterms:modified xsi:type="dcterms:W3CDTF">2025-09-10T15:51:05Z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0a5d502-b958-423f-be65-029d8ec70b4d_Enabled">
    <vt:lpwstr>true</vt:lpwstr>
  </property>
  <property fmtid="{D5CDD505-2E9C-101B-9397-08002B2CF9AE}" pid="3" name="MSIP_Label_60a5d502-b958-423f-be65-029d8ec70b4d_SetDate">
    <vt:lpwstr>2025-05-06T17:47:30Z</vt:lpwstr>
  </property>
  <property fmtid="{D5CDD505-2E9C-101B-9397-08002B2CF9AE}" pid="4" name="MSIP_Label_60a5d502-b958-423f-be65-029d8ec70b4d_Method">
    <vt:lpwstr>Standard</vt:lpwstr>
  </property>
  <property fmtid="{D5CDD505-2E9C-101B-9397-08002B2CF9AE}" pid="5" name="MSIP_Label_60a5d502-b958-423f-be65-029d8ec70b4d_Name">
    <vt:lpwstr>Confidential – All</vt:lpwstr>
  </property>
  <property fmtid="{D5CDD505-2E9C-101B-9397-08002B2CF9AE}" pid="6" name="MSIP_Label_60a5d502-b958-423f-be65-029d8ec70b4d_SiteId">
    <vt:lpwstr>5f757850-19e4-4329-bc48-045f1fe3eecd</vt:lpwstr>
  </property>
  <property fmtid="{D5CDD505-2E9C-101B-9397-08002B2CF9AE}" pid="7" name="MSIP_Label_60a5d502-b958-423f-be65-029d8ec70b4d_ActionId">
    <vt:lpwstr>77878762-8172-43e4-86da-a2476fe72022</vt:lpwstr>
  </property>
  <property fmtid="{D5CDD505-2E9C-101B-9397-08002B2CF9AE}" pid="8" name="MSIP_Label_60a5d502-b958-423f-be65-029d8ec70b4d_ContentBits">
    <vt:lpwstr>0</vt:lpwstr>
  </property>
  <property fmtid="{D5CDD505-2E9C-101B-9397-08002B2CF9AE}" pid="9" name="MSIP_Label_60a5d502-b958-423f-be65-029d8ec70b4d_Tag">
    <vt:lpwstr>10, 3, 0, 1</vt:lpwstr>
  </property>
</Properties>
</file>